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 Реестр" sheetId="1" state="visible" r:id="rId1"/>
    <sheet xmlns:r="http://schemas.openxmlformats.org/officeDocument/2006/relationships" name="Рестораны &amp; Бистро" sheetId="2" state="visible" r:id="rId2"/>
    <sheet xmlns:r="http://schemas.openxmlformats.org/officeDocument/2006/relationships" name="Спешелти-кофейни" sheetId="3" state="visible" r:id="rId3"/>
    <sheet xmlns:r="http://schemas.openxmlformats.org/officeDocument/2006/relationships" name="Коктейльные бары" sheetId="4" state="visible" r:id="rId4"/>
    <sheet xmlns:r="http://schemas.openxmlformats.org/officeDocument/2006/relationships" name="Ремесленные пекарни" sheetId="5" state="visible" r:id="rId5"/>
    <sheet xmlns:r="http://schemas.openxmlformats.org/officeDocument/2006/relationships" name="Столовые &amp; Fast Casual" sheetId="6" state="visible" r:id="rId6"/>
    <sheet xmlns:r="http://schemas.openxmlformats.org/officeDocument/2006/relationships" name="Fine Dining" sheetId="7" state="visible" r:id="rId7"/>
    <sheet xmlns:r="http://schemas.openxmlformats.org/officeDocument/2006/relationships" name="Черновики (Drafts)" sheetId="8" state="visible" r:id="rId8"/>
    <sheet xmlns:r="http://schemas.openxmlformats.org/officeDocument/2006/relationships" name="Google Apps Script (Код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92400E"/>
      <sz val="10"/>
    </font>
    <font>
      <name val="Arial"/>
      <b val="1"/>
      <color rgb="0015803D"/>
      <sz val="9"/>
    </font>
    <font>
      <name val="Arial"/>
      <b val="1"/>
      <color rgb="00FFFFFF"/>
      <sz val="10"/>
    </font>
    <font>
      <name val="Arial"/>
      <b val="1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18181B"/>
        <bgColor rgb="0018181B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8C6D37"/>
        <bgColor rgb="008C6D37"/>
      </patternFill>
    </fill>
    <fill>
      <patternFill patternType="solid">
        <fgColor rgb="00B45309"/>
        <bgColor rgb="00B45309"/>
      </patternFill>
    </fill>
    <fill>
      <patternFill patternType="solid">
        <fgColor rgb="0015803D"/>
        <bgColor rgb="0015803D"/>
      </patternFill>
    </fill>
    <fill>
      <patternFill patternType="solid">
        <fgColor rgb="001D4ED8"/>
        <bgColor rgb="001D4ED8"/>
      </patternFill>
    </fill>
    <fill>
      <patternFill patternType="solid">
        <fgColor rgb="007E22CE"/>
        <bgColor rgb="007E22CE"/>
      </patternFill>
    </fill>
    <fill>
      <patternFill patternType="solid">
        <fgColor rgb="00B91C1C"/>
        <bgColor rgb="00B91C1C"/>
      </patternFill>
    </fill>
    <fill>
      <patternFill patternType="solid">
        <fgColor rgb="00D97706"/>
        <bgColor rgb="00D97706"/>
      </patternFill>
    </fill>
    <fill>
      <patternFill patternType="solid">
        <fgColor rgb="0078350F"/>
        <bgColor rgb="0078350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7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2" customWidth="1" min="4" max="4"/>
    <col width="14" customWidth="1" min="5" max="5"/>
    <col width="28" customWidth="1" min="6" max="6"/>
    <col width="18" customWidth="1" min="7" max="7"/>
    <col width="20" customWidth="1" min="8" max="8"/>
    <col width="16" customWidth="1" min="9" max="9"/>
    <col width="15" customWidth="1" min="10" max="10"/>
    <col width="18" customWidth="1" min="11" max="11"/>
    <col width="18" customWidth="1" min="12" max="12"/>
    <col width="20" customWidth="1" min="13" max="13"/>
    <col width="20" customWidth="1" min="14" max="14"/>
    <col width="20" customWidth="1" min="15" max="15"/>
    <col width="18" customWidth="1" min="16" max="16"/>
    <col width="18" customWidth="1" min="17" max="17"/>
    <col width="22" customWidth="1" min="18" max="18"/>
    <col width="26" customWidth="1" min="19" max="19"/>
    <col width="35" customWidth="1" min="20" max="20"/>
    <col width="30" customWidth="1" min="21" max="21"/>
    <col width="35" customWidth="1" min="22" max="22"/>
    <col width="15" customWidth="1" min="23" max="23"/>
  </cols>
  <sheetData>
    <row r="1" ht="36" customHeight="1">
      <c r="A1" s="1" t="inlineStr">
        <is>
          <t>PLANKA GUIDE • СВОДНЫЙ РЕЕСТР АУДИТОВ ВСЕХ КАТЕГОРИЙ (100 БАЛЛОВ)</t>
        </is>
      </c>
    </row>
    <row r="2" ht="28" customHeight="1">
      <c r="A2" s="2" t="inlineStr">
        <is>
          <t>ID</t>
        </is>
      </c>
      <c r="B2" s="2" t="inlineStr">
        <is>
          <t>Статус</t>
        </is>
      </c>
      <c r="C2" s="2" t="inlineStr">
        <is>
          <t>Название</t>
        </is>
      </c>
      <c r="D2" s="2" t="inlineStr">
        <is>
          <t>Формат заведения</t>
        </is>
      </c>
      <c r="E2" s="2" t="inlineStr">
        <is>
          <t>Город</t>
        </is>
      </c>
      <c r="F2" s="2" t="inlineStr">
        <is>
          <t>Адрес</t>
        </is>
      </c>
      <c r="G2" s="2" t="inlineStr">
        <is>
          <t>Телефон</t>
        </is>
      </c>
      <c r="H2" s="2" t="inlineStr">
        <is>
          <t>Шеф / Команда</t>
        </is>
      </c>
      <c r="I2" s="2" t="inlineStr">
        <is>
          <t>Средний чек (₽)</t>
        </is>
      </c>
      <c r="J2" s="2" t="inlineStr">
        <is>
          <t>Ценовой сегмент</t>
        </is>
      </c>
      <c r="K2" s="2" t="inlineStr">
        <is>
          <t>1. Еда/Сырье (35 б.)</t>
        </is>
      </c>
      <c r="L2" s="2" t="inlineStr">
        <is>
          <t>2. WOW/Подача (15 б.)</t>
        </is>
      </c>
      <c r="M2" s="2" t="inlineStr">
        <is>
          <t>3. Честность цены (15 б.)</t>
        </is>
      </c>
      <c r="N2" s="2" t="inlineStr">
        <is>
          <t>4. Сервис/Тайминг (15 б.)</t>
        </is>
      </c>
      <c r="O2" s="2" t="inlineStr">
        <is>
          <t>5. Атмосфера/Среда (10 б.)</t>
        </is>
      </c>
      <c r="P2" s="2" t="inlineStr">
        <is>
          <t>6. Санитария (10 б.)</t>
        </is>
      </c>
      <c r="Q2" s="2" t="inlineStr">
        <is>
          <t>ИТОГОВЫЙ БАЛЛ</t>
        </is>
      </c>
      <c r="R2" s="2" t="inlineStr">
        <is>
          <t>ЗНАК КАЧЕСТВА / ГРЕЙД</t>
        </is>
      </c>
      <c r="S2" s="2" t="inlineStr">
        <is>
          <t>Фирменное блюдо</t>
        </is>
      </c>
      <c r="T2" s="2" t="inlineStr">
        <is>
          <t>Рецензия инспектора</t>
        </is>
      </c>
      <c r="U2" s="2" t="inlineStr">
        <is>
          <t>Видеообложка</t>
        </is>
      </c>
      <c r="V2" s="2" t="inlineStr">
        <is>
          <t>Фотографии (JSON)</t>
        </is>
      </c>
      <c r="W2" s="2" t="inlineStr">
        <is>
          <t>Дата аудита</t>
        </is>
      </c>
    </row>
    <row r="3" ht="22" customHeight="1">
      <c r="A3" s="3" t="n">
        <v>1</v>
      </c>
      <c r="B3" s="3" t="inlineStr">
        <is>
          <t>published</t>
        </is>
      </c>
      <c r="C3" s="4" t="inlineStr">
        <is>
          <t>White Rabbit</t>
        </is>
      </c>
      <c r="D3" s="3" t="inlineStr">
        <is>
          <t>Роскошные рестораны &amp; Fine Dining</t>
        </is>
      </c>
      <c r="E3" s="3" t="inlineStr">
        <is>
          <t>Москва</t>
        </is>
      </c>
      <c r="F3" s="4" t="inlineStr">
        <is>
          <t>Смоленская площадь, 3 (16 этаж)</t>
        </is>
      </c>
      <c r="G3" s="4" t="inlineStr">
        <is>
          <t>+7 (495) 510-51-01</t>
        </is>
      </c>
      <c r="H3" s="4" t="inlineStr">
        <is>
          <t>Владимир Мухин</t>
        </is>
      </c>
      <c r="I3" s="3" t="n">
        <v>7000</v>
      </c>
      <c r="J3" s="3" t="inlineStr">
        <is>
          <t>₽₽₽₽</t>
        </is>
      </c>
      <c r="K3" s="3" t="n">
        <v>34</v>
      </c>
      <c r="L3" s="3" t="n">
        <v>15</v>
      </c>
      <c r="M3" s="3" t="n">
        <v>14</v>
      </c>
      <c r="N3" s="3" t="n">
        <v>15</v>
      </c>
      <c r="O3" s="3" t="n">
        <v>9</v>
      </c>
      <c r="P3" s="3" t="n">
        <v>9</v>
      </c>
      <c r="Q3" s="5">
        <f>SUM(K3:P3)</f>
        <v/>
      </c>
      <c r="R3" s="6">
        <f>IF(Q3&gt;=90, "Знак Качества", IF(Q3&gt;=75, "Рекомендовано", "Базовый уровень"))</f>
        <v/>
      </c>
      <c r="S3" s="4" t="inlineStr">
        <is>
          <t>Черная треска с муссом из трав</t>
        </is>
      </c>
      <c r="T3" s="4" t="inlineStr">
        <is>
          <t>По нашему авторскому впечатлению, White Rabbit сохраняет статус флагмана российской гастрономии. Панорамный вид гармонично сочетается с тонкой работой шефа над локальными ингредиентами.</t>
        </is>
      </c>
      <c r="U3" s="4" t="inlineStr">
        <is>
          <t>https://storage.googleapis.com/gtv-videos-bucket/sample/ForBiggerBlazes.mp4</t>
        </is>
      </c>
      <c r="V3" s="4" t="inlineStr">
        <is>
          <t>["https://images.unsplash.com/photo-1544025162-d76694265947?auto=format&amp;fit=crop&amp;w=1200&amp;q=80", "https://images.unsplash.com/photo-1517248135467-4c7edcad34c4?auto=format&amp;fit=crop&amp;w=1200&amp;q=80", "https://images.unsplash.com/photo-1550966871-3ed3cdb5ed0c?auto=format&amp;fit=crop&amp;w=1200&amp;q=80"]</t>
        </is>
      </c>
      <c r="W3" s="3" t="inlineStr">
        <is>
          <t>2026-08-10</t>
        </is>
      </c>
    </row>
    <row r="4" ht="22" customHeight="1">
      <c r="A4" s="7" t="n">
        <v>2</v>
      </c>
      <c r="B4" s="7" t="inlineStr">
        <is>
          <t>published</t>
        </is>
      </c>
      <c r="C4" s="8" t="inlineStr">
        <is>
          <t>El Copitas Bar</t>
        </is>
      </c>
      <c r="D4" s="7" t="inlineStr">
        <is>
          <t>Коктейльные бары</t>
        </is>
      </c>
      <c r="E4" s="7" t="inlineStr">
        <is>
          <t>СПб</t>
        </is>
      </c>
      <c r="F4" s="8" t="inlineStr">
        <is>
          <t>ул. Колокольная, 2</t>
        </is>
      </c>
      <c r="G4" s="8" t="inlineStr">
        <is>
          <t>+7 (812) 941-71-68</t>
        </is>
      </c>
      <c r="H4" s="8" t="inlineStr">
        <is>
          <t>Артем Перук &amp; Игорь Зернов</t>
        </is>
      </c>
      <c r="I4" s="7" t="n">
        <v>3200</v>
      </c>
      <c r="J4" s="7" t="inlineStr">
        <is>
          <t>₽₽₽</t>
        </is>
      </c>
      <c r="K4" s="7" t="n">
        <v>35</v>
      </c>
      <c r="L4" s="7" t="n">
        <v>15</v>
      </c>
      <c r="M4" s="7" t="n">
        <v>15</v>
      </c>
      <c r="N4" s="7" t="n">
        <v>15</v>
      </c>
      <c r="O4" s="7" t="n">
        <v>10</v>
      </c>
      <c r="P4" s="7" t="n">
        <v>9</v>
      </c>
      <c r="Q4" s="5">
        <f>SUM(K4:P4)</f>
        <v/>
      </c>
      <c r="R4" s="6">
        <f>IF(Q4&gt;=90, "Знак Качества", IF(Q4&gt;=75, "Рекомендовано", "Базовый уровень"))</f>
        <v/>
      </c>
      <c r="S4" s="8" t="inlineStr">
        <is>
          <t>Тако с томленой уткой и соусом моле</t>
        </is>
      </c>
      <c r="T4" s="8" t="inlineStr">
        <is>
          <t>По нашей оценке, один из самых атмосферных проектов страны. Безупречное гостеприимство, фирменный монолитный лед и глубокие авторские кордиалы создают уникальный барный опыт.</t>
        </is>
      </c>
      <c r="U4" s="8" t="inlineStr">
        <is>
          <t>https://storage.googleapis.com/gtv-videos-bucket/sample/ForBiggerJoyrides.mp4</t>
        </is>
      </c>
      <c r="V4" s="8" t="inlineStr">
        <is>
          <t>["https://images.unsplash.com/photo-1514362545857-3bc16c4c7d1b?auto=format&amp;fit=crop&amp;w=1200&amp;q=80", "https://images.unsplash.com/photo-1551024709-8f23befc6f87?auto=format&amp;fit=crop&amp;w=1200&amp;q=80", "https://images.unsplash.com/photo-1563245372-f21724e3856d?auto=format&amp;fit=crop&amp;w=1200&amp;q=80"]</t>
        </is>
      </c>
      <c r="W4" s="7" t="inlineStr">
        <is>
          <t>2026-08-14</t>
        </is>
      </c>
    </row>
    <row r="5" ht="22" customHeight="1">
      <c r="A5" s="3" t="n">
        <v>3</v>
      </c>
      <c r="B5" s="3" t="inlineStr">
        <is>
          <t>published</t>
        </is>
      </c>
      <c r="C5" s="4" t="inlineStr">
        <is>
          <t>Кафе Пушкинъ</t>
        </is>
      </c>
      <c r="D5" s="3" t="inlineStr">
        <is>
          <t>Роскошные рестораны &amp; Fine Dining</t>
        </is>
      </c>
      <c r="E5" s="3" t="inlineStr">
        <is>
          <t>Москва</t>
        </is>
      </c>
      <c r="F5" s="4" t="inlineStr">
        <is>
          <t>Тверской бульвар, 26А</t>
        </is>
      </c>
      <c r="G5" s="4" t="inlineStr">
        <is>
          <t>+7 (495) 739-00-33</t>
        </is>
      </c>
      <c r="H5" s="4" t="inlineStr">
        <is>
          <t>Андрей Махов</t>
        </is>
      </c>
      <c r="I5" s="3" t="n">
        <v>5500</v>
      </c>
      <c r="J5" s="3" t="inlineStr">
        <is>
          <t>₽₽₽₽</t>
        </is>
      </c>
      <c r="K5" s="3" t="n">
        <v>33</v>
      </c>
      <c r="L5" s="3" t="n">
        <v>14</v>
      </c>
      <c r="M5" s="3" t="n">
        <v>14</v>
      </c>
      <c r="N5" s="3" t="n">
        <v>15</v>
      </c>
      <c r="O5" s="3" t="n">
        <v>9</v>
      </c>
      <c r="P5" s="3" t="n">
        <v>9</v>
      </c>
      <c r="Q5" s="5">
        <f>SUM(K5:P5)</f>
        <v/>
      </c>
      <c r="R5" s="6">
        <f>IF(Q5&gt;=90, "Знак Качества", IF(Q5&gt;=75, "Рекомендовано", "Базовый уровень"))</f>
        <v/>
      </c>
      <c r="S5" s="4" t="inlineStr">
        <is>
          <t>Пожарская котлета с печеным картофелем</t>
        </is>
      </c>
      <c r="T5" s="4" t="inlineStr">
        <is>
          <t>По нашему впечатлению, классика дворянского стола и безупречный дореволюционный этикет официантов создают аутентичный исторический опыт.</t>
        </is>
      </c>
      <c r="U5" s="4" t="inlineStr">
        <is>
          <t>https://storage.googleapis.com/gtv-videos-bucket/sample/TearsOfSteel.mp4</t>
        </is>
      </c>
      <c r="V5" s="4" t="inlineStr">
        <is>
          <t>["https://images.unsplash.com/photo-1559339352-11d035aa65de?auto=format&amp;fit=crop&amp;w=1200&amp;q=80", "https://images.unsplash.com/photo-1517248135467-4c7edcad34c4?auto=format&amp;fit=crop&amp;w=1200&amp;q=80", "https://images.unsplash.com/photo-1550966871-3ed3cdb5ed0c?auto=format&amp;fit=crop&amp;w=1200&amp;q=80"]</t>
        </is>
      </c>
      <c r="W5" s="3" t="inlineStr">
        <is>
          <t>2026-08-18</t>
        </is>
      </c>
    </row>
    <row r="6" ht="22" customHeight="1">
      <c r="A6" s="7" t="n">
        <v>4</v>
      </c>
      <c r="B6" s="7" t="inlineStr">
        <is>
          <t>published</t>
        </is>
      </c>
      <c r="C6" s="8" t="inlineStr">
        <is>
          <t>Сойка (Soyka)</t>
        </is>
      </c>
      <c r="D6" s="7" t="inlineStr">
        <is>
          <t>Рестораны &amp; Бистро</t>
        </is>
      </c>
      <c r="E6" s="7" t="inlineStr">
        <is>
          <t>Екатеринбург</t>
        </is>
      </c>
      <c r="F6" s="8" t="inlineStr">
        <is>
          <t>ул. 8 Марта, 6</t>
        </is>
      </c>
      <c r="G6" s="8" t="inlineStr">
        <is>
          <t>+7 (343) 289-40-50</t>
        </is>
      </c>
      <c r="H6" s="8" t="inlineStr">
        <is>
          <t>Валентин Кузякин</t>
        </is>
      </c>
      <c r="I6" s="7" t="n">
        <v>2800</v>
      </c>
      <c r="J6" s="7" t="inlineStr">
        <is>
          <t>₽₽₽</t>
        </is>
      </c>
      <c r="K6" s="7" t="n">
        <v>33</v>
      </c>
      <c r="L6" s="7" t="n">
        <v>14</v>
      </c>
      <c r="M6" s="7" t="n">
        <v>14</v>
      </c>
      <c r="N6" s="7" t="n">
        <v>14</v>
      </c>
      <c r="O6" s="7" t="n">
        <v>9</v>
      </c>
      <c r="P6" s="7" t="n">
        <v>9</v>
      </c>
      <c r="Q6" s="5">
        <f>SUM(K6:P6)</f>
        <v/>
      </c>
      <c r="R6" s="6">
        <f>IF(Q6&gt;=90, "Знак Качества", IF(Q6&gt;=75, "Рекомендовано", "Базовый уровень"))</f>
        <v/>
      </c>
      <c r="S6" s="8" t="inlineStr">
        <is>
          <t>Тартар из гребешка с юдзу и хрустящим рисом</t>
        </is>
      </c>
      <c r="T6" s="8" t="inlineStr">
        <is>
          <t>По нашей оценке, один из сильнейших гастрономических проектов Екатеринбурга. Точная адаптация азиатских техник и внимательный сервис формируют высокий стандарт уральской кухни.</t>
        </is>
      </c>
      <c r="U6" s="8" t="inlineStr">
        <is>
          <t>https://storage.googleapis.com/gtv-videos-bucket/sample/ForBiggerEscapes.mp4</t>
        </is>
      </c>
      <c r="V6" s="8" t="inlineStr">
        <is>
          <t>["https://images.unsplash.com/photo-1555396273-367ea4eb4db5?auto=format&amp;fit=crop&amp;w=1200&amp;q=80", "https://images.unsplash.com/photo-1517248135467-4c7edcad34c4?auto=format&amp;fit=crop&amp;w=1200&amp;q=80", "https://images.unsplash.com/photo-1550966871-3ed3cdb5ed0c?auto=format&amp;fit=crop&amp;w=1200&amp;q=80"]</t>
        </is>
      </c>
      <c r="W6" s="7" t="inlineStr">
        <is>
          <t>2026-08-20</t>
        </is>
      </c>
    </row>
    <row r="7" ht="22" customHeight="1">
      <c r="A7" s="3" t="n">
        <v>5</v>
      </c>
      <c r="B7" s="3" t="inlineStr">
        <is>
          <t>published</t>
        </is>
      </c>
      <c r="C7" s="4" t="inlineStr">
        <is>
          <t>Гастроли (Gastroli)</t>
        </is>
      </c>
      <c r="D7" s="3" t="inlineStr">
        <is>
          <t>Рестораны &amp; Бистро</t>
        </is>
      </c>
      <c r="E7" s="3" t="inlineStr">
        <is>
          <t>Екатеринбург</t>
        </is>
      </c>
      <c r="F7" s="4" t="inlineStr">
        <is>
          <t>ул. 8 Марта, 4</t>
        </is>
      </c>
      <c r="G7" s="4" t="inlineStr">
        <is>
          <t>+7 (343) 378-00-08</t>
        </is>
      </c>
      <c r="H7" s="4" t="inlineStr">
        <is>
          <t>Эдуард Архипов</t>
        </is>
      </c>
      <c r="I7" s="3" t="n">
        <v>2500</v>
      </c>
      <c r="J7" s="3" t="inlineStr">
        <is>
          <t>₽₽₽</t>
        </is>
      </c>
      <c r="K7" s="3" t="n">
        <v>32</v>
      </c>
      <c r="L7" s="3" t="n">
        <v>14</v>
      </c>
      <c r="M7" s="3" t="n">
        <v>14</v>
      </c>
      <c r="N7" s="3" t="n">
        <v>14</v>
      </c>
      <c r="O7" s="3" t="n">
        <v>9</v>
      </c>
      <c r="P7" s="3" t="n">
        <v>9</v>
      </c>
      <c r="Q7" s="5">
        <f>SUM(K7:P7)</f>
        <v/>
      </c>
      <c r="R7" s="6">
        <f>IF(Q7&gt;=90, "Знак Качества", IF(Q7&gt;=75, "Рекомендовано", "Базовый уровень"))</f>
        <v/>
      </c>
      <c r="S7" s="4" t="inlineStr">
        <is>
          <t>Пицца из дровяной печи с уткой и вяленой клюквой</t>
        </is>
      </c>
      <c r="T7" s="4" t="inlineStr">
        <is>
          <t>По нашему впечатлению, «Гастроли» задают высокую планку для бистро в регионах. Живой огонь дровяной печи и расслабленная европейская атмосфера создают ощущение постоянного праздника.</t>
        </is>
      </c>
      <c r="U7" s="4" t="inlineStr">
        <is>
          <t>https://storage.googleapis.com/gtv-videos-bucket/sample/ForBiggerBlazes.mp4</t>
        </is>
      </c>
      <c r="V7" s="4" t="inlineStr">
        <is>
          <t>["https://images.unsplash.com/photo-1513104890138-7c749659a591?auto=format&amp;fit=crop&amp;w=1200&amp;q=80", "https://images.unsplash.com/photo-1555396273-367ea4eb4db5?auto=format&amp;fit=crop&amp;w=1200&amp;q=80", "https://images.unsplash.com/photo-1544025162-d76694265947?auto=format&amp;fit=crop&amp;w=1200&amp;q=80"]</t>
        </is>
      </c>
      <c r="W7" s="3" t="inlineStr">
        <is>
          <t>2026-08-19</t>
        </is>
      </c>
    </row>
    <row r="8" ht="22" customHeight="1">
      <c r="A8" s="7" t="n">
        <v>6</v>
      </c>
      <c r="B8" s="7" t="inlineStr">
        <is>
          <t>published</t>
        </is>
      </c>
      <c r="C8" s="8" t="inlineStr">
        <is>
          <t>Duo Gastrobar</t>
        </is>
      </c>
      <c r="D8" s="7" t="inlineStr">
        <is>
          <t>Рестораны &amp; Бистро</t>
        </is>
      </c>
      <c r="E8" s="7" t="inlineStr">
        <is>
          <t>СПб</t>
        </is>
      </c>
      <c r="F8" s="8" t="inlineStr">
        <is>
          <t>ул. Кирочная, 8А</t>
        </is>
      </c>
      <c r="G8" s="8" t="inlineStr">
        <is>
          <t>+7 (812) 994-54-43</t>
        </is>
      </c>
      <c r="H8" s="8" t="inlineStr">
        <is>
          <t>Дмитрий Блинов &amp; Ренат Маликов</t>
        </is>
      </c>
      <c r="I8" s="7" t="n">
        <v>2600</v>
      </c>
      <c r="J8" s="7" t="inlineStr">
        <is>
          <t>₽₽₽</t>
        </is>
      </c>
      <c r="K8" s="7" t="n">
        <v>32</v>
      </c>
      <c r="L8" s="7" t="n">
        <v>14</v>
      </c>
      <c r="M8" s="7" t="n">
        <v>14</v>
      </c>
      <c r="N8" s="7" t="n">
        <v>14</v>
      </c>
      <c r="O8" s="7" t="n">
        <v>8</v>
      </c>
      <c r="P8" s="7" t="n">
        <v>9</v>
      </c>
      <c r="Q8" s="5">
        <f>SUM(K8:P8)</f>
        <v/>
      </c>
      <c r="R8" s="6">
        <f>IF(Q8&gt;=90, "Знак Качества", IF(Q8&gt;=75, "Рекомендовано", "Базовый уровень"))</f>
        <v/>
      </c>
      <c r="S8" s="8" t="inlineStr">
        <is>
          <t>Тартар из говядины с муссом из пармезана</t>
        </is>
      </c>
      <c r="T8" s="8" t="inlineStr">
        <is>
          <t>По нашей оценке, классический пример гастрономического минимализма, где во главе угла стоит чистый вкус продукта и честная ценовая политика.</t>
        </is>
      </c>
      <c r="U8" s="8" t="inlineStr">
        <is>
          <t>https://storage.googleapis.com/gtv-videos-bucket/sample/ForBiggerFun.mp4</t>
        </is>
      </c>
      <c r="V8" s="8" t="inlineStr">
        <is>
          <t>["https://images.unsplash.com/photo-1544025162-d76694265947?auto=format&amp;fit=crop&amp;w=1200&amp;q=80", "https://images.unsplash.com/photo-1517248135467-4c7edcad34c4?auto=format&amp;fit=crop&amp;w=1200&amp;q=80", "https://images.unsplash.com/photo-1550966871-3ed3cdb5ed0c?auto=format&amp;fit=crop&amp;w=1200&amp;q=80"]</t>
        </is>
      </c>
      <c r="W8" s="7" t="inlineStr">
        <is>
          <t>2026-08-15</t>
        </is>
      </c>
    </row>
    <row r="9" ht="22" customHeight="1">
      <c r="A9" s="3" t="n">
        <v>7</v>
      </c>
      <c r="B9" s="3" t="inlineStr">
        <is>
          <t>published</t>
        </is>
      </c>
      <c r="C9" s="4" t="inlineStr">
        <is>
          <t>Кофемания</t>
        </is>
      </c>
      <c r="D9" s="3" t="inlineStr">
        <is>
          <t>Спешелти-кофейни</t>
        </is>
      </c>
      <c r="E9" s="3" t="inlineStr">
        <is>
          <t>Москва</t>
        </is>
      </c>
      <c r="F9" s="4" t="inlineStr">
        <is>
          <t>ул. Большая Никитская, 13/6</t>
        </is>
      </c>
      <c r="G9" s="4" t="inlineStr">
        <is>
          <t>+7 (495) 775-51-10</t>
        </is>
      </c>
      <c r="H9" s="4" t="inlineStr">
        <is>
          <t>Глеб Невейкин</t>
        </is>
      </c>
      <c r="I9" s="3" t="n">
        <v>2400</v>
      </c>
      <c r="J9" s="3" t="inlineStr">
        <is>
          <t>₽₽</t>
        </is>
      </c>
      <c r="K9" s="3" t="n">
        <v>30</v>
      </c>
      <c r="L9" s="3" t="n">
        <v>13</v>
      </c>
      <c r="M9" s="3" t="n">
        <v>12</v>
      </c>
      <c r="N9" s="3" t="n">
        <v>14</v>
      </c>
      <c r="O9" s="3" t="n">
        <v>9</v>
      </c>
      <c r="P9" s="3" t="n">
        <v>9</v>
      </c>
      <c r="Q9" s="5">
        <f>SUM(K9:P9)</f>
        <v/>
      </c>
      <c r="R9" s="6">
        <f>IF(Q9&gt;=90, "Знак Качества", IF(Q9&gt;=75, "Рекомендовано", "Базовый уровень"))</f>
        <v/>
      </c>
      <c r="S9" s="4" t="inlineStr">
        <is>
          <t>Кофе Раф Ванильный и сырники со сметаной</t>
        </is>
      </c>
      <c r="T9" s="4" t="inlineStr">
        <is>
          <t>По нашему впечатлению, эталон стабильности ресторанного сервиса Москвы. Кофе варится на зерне безупречного качества с выверенной водоподготовкой.</t>
        </is>
      </c>
      <c r="U9" s="4" t="inlineStr">
        <is>
          <t>https://storage.googleapis.com/gtv-videos-bucket/sample/ForBiggerMeltdowns.mp4</t>
        </is>
      </c>
      <c r="V9" s="4" t="inlineStr">
        <is>
          <t>["https://images.unsplash.com/photo-1501339847302-ac426a4a7cbb?auto=format&amp;fit=crop&amp;w=1200&amp;q=80", "https://images.unsplash.com/photo-1495474472287-4d71bcdd2085?auto=format&amp;fit=crop&amp;w=1200&amp;q=80", "https://images.unsplash.com/photo-1554118811-1e0d58224f24?auto=format&amp;fit=crop&amp;w=1200&amp;q=80"]</t>
        </is>
      </c>
      <c r="W9" s="3" t="inlineStr">
        <is>
          <t>2026-08-11</t>
        </is>
      </c>
    </row>
    <row r="10" ht="22" customHeight="1">
      <c r="A10" s="7" t="n">
        <v>8</v>
      </c>
      <c r="B10" s="7" t="inlineStr">
        <is>
          <t>published</t>
        </is>
      </c>
      <c r="C10" s="8" t="inlineStr">
        <is>
          <t>Буше Пекарня</t>
        </is>
      </c>
      <c r="D10" s="7" t="inlineStr">
        <is>
          <t>Ремесленные пекарни</t>
        </is>
      </c>
      <c r="E10" s="7" t="inlineStr">
        <is>
          <t>СПб</t>
        </is>
      </c>
      <c r="F10" s="8" t="inlineStr">
        <is>
          <t>ул. Льва Толстого, 1-3</t>
        </is>
      </c>
      <c r="G10" s="8" t="inlineStr">
        <is>
          <t>+7 (812) 640-77-37</t>
        </is>
      </c>
      <c r="H10" s="8" t="inlineStr">
        <is>
          <t>Роман Певзнер &amp; Команда Буше</t>
        </is>
      </c>
      <c r="I10" s="7" t="n">
        <v>850</v>
      </c>
      <c r="J10" s="7" t="inlineStr">
        <is>
          <t>₽</t>
        </is>
      </c>
      <c r="K10" s="7" t="n">
        <v>30</v>
      </c>
      <c r="L10" s="7" t="n">
        <v>13</v>
      </c>
      <c r="M10" s="7" t="n">
        <v>14</v>
      </c>
      <c r="N10" s="7" t="n">
        <v>13</v>
      </c>
      <c r="O10" s="7" t="n">
        <v>8</v>
      </c>
      <c r="P10" s="7" t="n">
        <v>8</v>
      </c>
      <c r="Q10" s="5">
        <f>SUM(K10:P10)</f>
        <v/>
      </c>
      <c r="R10" s="6">
        <f>IF(Q10&gt;=90, "Знак Качества", IF(Q10&gt;=75, "Рекомендовано", "Базовый уровень"))</f>
        <v/>
      </c>
      <c r="S10" s="8" t="inlineStr">
        <is>
          <t>Слоеный круассан с миндальным кремом</t>
        </is>
      </c>
      <c r="T10" s="8" t="inlineStr">
        <is>
          <t>По нашему впечатлению, один из главных символов современной пекарской культуры Санкт-Петербурга с честной граммовкой и уютным пространством.</t>
        </is>
      </c>
      <c r="U10" s="8" t="inlineStr">
        <is>
          <t>https://storage.googleapis.com/gtv-videos-bucket/sample/WeAreGoingOnBullrun.mp4</t>
        </is>
      </c>
      <c r="V10" s="8" t="inlineStr">
        <is>
          <t>["https://images.unsplash.com/photo-1509440159596-0249088772ff?auto=format&amp;fit=crop&amp;w=1200&amp;q=80", "https://images.unsplash.com/photo-1555507036-ab1f4038808a?auto=format&amp;fit=crop&amp;w=1200&amp;q=80", "https://images.unsplash.com/photo-1517433670267-08bbd4be890f?auto=format&amp;fit=crop&amp;w=1200&amp;q=80"]</t>
        </is>
      </c>
      <c r="W10" s="7" t="inlineStr">
        <is>
          <t>2026-08-12</t>
        </is>
      </c>
    </row>
    <row r="11" ht="22" customHeight="1">
      <c r="A11" s="3" t="n">
        <v>9</v>
      </c>
      <c r="B11" s="3" t="inlineStr">
        <is>
          <t>published</t>
        </is>
      </c>
      <c r="C11" s="4" t="inlineStr">
        <is>
          <t>Engels Кофе и Вафли</t>
        </is>
      </c>
      <c r="D11" s="3" t="inlineStr">
        <is>
          <t>Спешелти-кофейни</t>
        </is>
      </c>
      <c r="E11" s="3" t="inlineStr">
        <is>
          <t>Екатеринбург</t>
        </is>
      </c>
      <c r="F11" s="4" t="inlineStr">
        <is>
          <t>ул. Малышева, 21/4</t>
        </is>
      </c>
      <c r="G11" s="4" t="inlineStr">
        <is>
          <t>+7 (343) 310-21-44</t>
        </is>
      </c>
      <c r="H11" s="4" t="inlineStr">
        <is>
          <t>Команда Engels</t>
        </is>
      </c>
      <c r="I11" s="3" t="n">
        <v>1100</v>
      </c>
      <c r="J11" s="3" t="inlineStr">
        <is>
          <t>₽₽</t>
        </is>
      </c>
      <c r="K11" s="3" t="n">
        <v>30</v>
      </c>
      <c r="L11" s="3" t="n">
        <v>13</v>
      </c>
      <c r="M11" s="3" t="n">
        <v>14</v>
      </c>
      <c r="N11" s="3" t="n">
        <v>13</v>
      </c>
      <c r="O11" s="3" t="n">
        <v>8</v>
      </c>
      <c r="P11" s="3" t="n">
        <v>8</v>
      </c>
      <c r="Q11" s="5">
        <f>SUM(K11:P11)</f>
        <v/>
      </c>
      <c r="R11" s="6">
        <f>IF(Q11&gt;=90, "Знак Качества", IF(Q11&gt;=75, "Рекомендовано", "Базовый уровень"))</f>
        <v/>
      </c>
      <c r="S11" s="4" t="inlineStr">
        <is>
          <t>Хрустящая вафля с лососем слабой соли и яйцом пашот</t>
        </is>
      </c>
      <c r="T11" s="4" t="inlineStr">
        <is>
          <t>По нашей оценке, один из самых популярных и стабильных утренних спотов Екатеринбурга. Высокая планка спешелти-зерна и дружелюбный сервис.</t>
        </is>
      </c>
      <c r="U11" s="4" t="inlineStr">
        <is>
          <t>https://storage.googleapis.com/gtv-videos-bucket/sample/SubaruOutbackSeeTheWorld.mp4</t>
        </is>
      </c>
      <c r="V11" s="4" t="inlineStr">
        <is>
          <t>["https://images.unsplash.com/photo-1562376552-0d160a2f238d?auto=format&amp;fit=crop&amp;w=1200&amp;q=80", "https://images.unsplash.com/photo-1501339847302-ac426a4a7cbb?auto=format&amp;fit=crop&amp;w=1200&amp;q=80", "https://images.unsplash.com/photo-1554118811-1e0d58224f24?auto=format&amp;fit=crop&amp;w=1200&amp;q=80"]</t>
        </is>
      </c>
      <c r="W11" s="3" t="inlineStr">
        <is>
          <t>2026-08-16</t>
        </is>
      </c>
    </row>
    <row r="12" ht="22" customHeight="1">
      <c r="A12" s="7" t="n">
        <v>10</v>
      </c>
      <c r="B12" s="7" t="inlineStr">
        <is>
          <t>published</t>
        </is>
      </c>
      <c r="C12" s="8" t="inlineStr">
        <is>
          <t>Ku: Рамен Изакая</t>
        </is>
      </c>
      <c r="D12" s="7" t="inlineStr">
        <is>
          <t>Рестораны &amp; Бистро</t>
        </is>
      </c>
      <c r="E12" s="7" t="inlineStr">
        <is>
          <t>Москва</t>
        </is>
      </c>
      <c r="F12" s="8" t="inlineStr">
        <is>
          <t>Кутузовский проспект, 2/1с1</t>
        </is>
      </c>
      <c r="G12" s="8" t="inlineStr">
        <is>
          <t>+7 (495) 783-08-40</t>
        </is>
      </c>
      <c r="H12" s="8" t="inlineStr">
        <is>
          <t>Денис Лим</t>
        </is>
      </c>
      <c r="I12" s="7" t="n">
        <v>1800</v>
      </c>
      <c r="J12" s="7" t="inlineStr">
        <is>
          <t>₽₽</t>
        </is>
      </c>
      <c r="K12" s="7" t="n">
        <v>30</v>
      </c>
      <c r="L12" s="7" t="n">
        <v>13</v>
      </c>
      <c r="M12" s="7" t="n">
        <v>14</v>
      </c>
      <c r="N12" s="7" t="n">
        <v>13</v>
      </c>
      <c r="O12" s="7" t="n">
        <v>8</v>
      </c>
      <c r="P12" s="7" t="n">
        <v>8</v>
      </c>
      <c r="Q12" s="5">
        <f>SUM(K12:P12)</f>
        <v/>
      </c>
      <c r="R12" s="6">
        <f>IF(Q12&gt;=90, "Знак Качества", IF(Q12&gt;=75, "Рекомендовано", "Базовый уровень"))</f>
        <v/>
      </c>
      <c r="S12" s="8" t="inlineStr">
        <is>
          <t>Тонкоцу рамен на наваристом свином бульоне</t>
        </is>
      </c>
      <c r="T12" s="8" t="inlineStr">
        <is>
          <t>По нашему впечатлению, проект задает высокий уровень аутентичности японской кухни в Москве с честным выходом порций и быстрым ритмом кухни.</t>
        </is>
      </c>
      <c r="U12" s="8" t="inlineStr">
        <is>
          <t>https://storage.googleapis.com/gtv-videos-bucket/sample/ForBiggerJoyrides.mp4</t>
        </is>
      </c>
      <c r="V12" s="8" t="inlineStr">
        <is>
          <t>["https://images.unsplash.com/photo-1569718212165-3a8278d5f624?auto=format&amp;fit=crop&amp;w=1200&amp;q=80", "https://images.unsplash.com/photo-1552611052-33e04de081de?auto=format&amp;fit=crop&amp;w=1200&amp;q=80", "https://images.unsplash.com/photo-1544025162-d76694265947?auto=format&amp;fit=crop&amp;w=1200&amp;q=80"]</t>
        </is>
      </c>
      <c r="W12" s="7" t="inlineStr">
        <is>
          <t>2026-08-17</t>
        </is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0" customWidth="1" min="4" max="4"/>
    <col width="14" customWidth="1" min="5" max="5"/>
    <col width="18" customWidth="1" min="6" max="6"/>
    <col width="28" customWidth="1" min="7" max="7"/>
    <col width="18" customWidth="1" min="8" max="8"/>
    <col width="22" customWidth="1" min="9" max="9"/>
    <col width="20" customWidth="1" min="10" max="10"/>
    <col width="28" customWidth="1" min="11" max="11"/>
    <col width="16" customWidth="1" min="12" max="12"/>
    <col width="15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8" customWidth="1" min="34" max="34"/>
    <col width="22" customWidth="1" min="35" max="35"/>
    <col width="16" customWidth="1" min="36" max="36"/>
    <col width="26" customWidth="1" min="37" max="37"/>
    <col width="32" customWidth="1" min="38" max="38"/>
    <col width="36" customWidth="1" min="39" max="39"/>
    <col width="30" customWidth="1" min="40" max="40"/>
    <col width="30" customWidth="1" min="41" max="41"/>
    <col width="30" customWidth="1" min="42" max="42"/>
    <col width="26" customWidth="1" min="43" max="43"/>
    <col width="26" customWidth="1" min="44" max="44"/>
    <col width="22" customWidth="1" min="45" max="45"/>
    <col width="26" customWidth="1" min="46" max="46"/>
    <col width="30" customWidth="1" min="47" max="47"/>
    <col width="14" customWidth="1" min="48" max="48"/>
    <col width="14" customWidth="1" min="49" max="49"/>
    <col width="15" customWidth="1" min="50" max="50"/>
    <col width="16" customWidth="1" min="51" max="51"/>
  </cols>
  <sheetData>
    <row r="1" ht="36" customHeight="1">
      <c r="A1" s="1" t="inlineStr">
        <is>
          <t>PLANKA GUIDE • СПЕЦИАЛИЗИРОВАННЫЙ КАЛЬКУЛЯТОР: РЕСТОРАНЫ И БИСТРО (100 БАЛЛОВ)</t>
        </is>
      </c>
    </row>
    <row r="2" ht="26" customHeight="1">
      <c r="A2" s="9" t="inlineStr">
        <is>
          <t>ПАСПОРТ ЗАВЕДЕНИЯ</t>
        </is>
      </c>
      <c r="O2" s="10" t="inlineStr">
        <is>
          <t>БЛОК 1: СЫРЬЕ И ОСНОВА (35 б.)</t>
        </is>
      </c>
      <c r="T2" s="11" t="inlineStr">
        <is>
          <t>БЛОК 2: WOW &amp; ПОДАЧА (15 б.)</t>
        </is>
      </c>
      <c r="W2" s="12" t="inlineStr">
        <is>
          <t>БЛОК 3: ЧЕСТНОСТЬ ЦЕНЫ (15 б.)</t>
        </is>
      </c>
      <c r="Z2" s="13" t="inlineStr">
        <is>
          <t>БЛОК 4: СЕРВИС &amp; ТАЙМИНГ (15 б.)</t>
        </is>
      </c>
      <c r="AC2" s="14" t="inlineStr">
        <is>
          <t>БЛОК 5: СРЕДА &amp; АКУСТИКА (10 б.)</t>
        </is>
      </c>
      <c r="AF2" s="15" t="inlineStr">
        <is>
          <t>БЛОК 6: САНИТАРИЯ (10 б.)</t>
        </is>
      </c>
      <c r="AH2" s="16" t="inlineStr">
        <is>
          <t>ИТОГИ &amp; ГРЕЙД</t>
        </is>
      </c>
      <c r="AK2" s="9" t="inlineStr">
        <is>
          <t>ДОСЬЕ, РЕЦЕНЗИЯ, МЕДИА &amp; КООРДИНАТЫ</t>
        </is>
      </c>
    </row>
    <row r="3" ht="32" customHeight="1">
      <c r="A3" s="17" t="inlineStr">
        <is>
          <t>ID</t>
        </is>
      </c>
      <c r="B3" s="17" t="inlineStr">
        <is>
          <t>Статус</t>
        </is>
      </c>
      <c r="C3" s="17" t="inlineStr">
        <is>
          <t>Название заведения</t>
        </is>
      </c>
      <c r="D3" s="17" t="inlineStr">
        <is>
          <t>Формат</t>
        </is>
      </c>
      <c r="E3" s="17" t="inlineStr">
        <is>
          <t>Город</t>
        </is>
      </c>
      <c r="F3" s="17" t="inlineStr">
        <is>
          <t>Район</t>
        </is>
      </c>
      <c r="G3" s="17" t="inlineStr">
        <is>
          <t>Адрес</t>
        </is>
      </c>
      <c r="H3" s="17" t="inlineStr">
        <is>
          <t>Телефон</t>
        </is>
      </c>
      <c r="I3" s="17" t="inlineStr">
        <is>
          <t>Бронь (URL)</t>
        </is>
      </c>
      <c r="J3" s="17" t="inlineStr">
        <is>
          <t>Шеф / Команда</t>
        </is>
      </c>
      <c r="K3" s="17" t="inlineStr">
        <is>
          <t>Концепция</t>
        </is>
      </c>
      <c r="L3" s="17" t="inlineStr">
        <is>
          <t>Средний чек (₽)</t>
        </is>
      </c>
      <c r="M3" s="17" t="inlineStr">
        <is>
          <t>Ценовой сегмент</t>
        </is>
      </c>
      <c r="N3" s="17" t="inlineStr">
        <is>
          <t>Категория цен</t>
        </is>
      </c>
      <c r="O3" s="17" t="inlineStr">
        <is>
          <t>1.1 Свежесть сырья и фермерское мясо (0..10)</t>
        </is>
      </c>
      <c r="P3" s="17" t="inlineStr">
        <is>
          <t>1.2 Прожарка мяса и дровяная печь 380C (0..8)</t>
        </is>
      </c>
      <c r="Q3" s="17" t="inlineStr">
        <is>
          <t>1.3 Баланс соусов и деликатная соль (0..7)</t>
        </is>
      </c>
      <c r="R3" s="17" t="inlineStr">
        <is>
          <t>1.4 Температура подачи горячего &gt;65C (0..5)</t>
        </is>
      </c>
      <c r="S3" s="17" t="inlineStr">
        <is>
          <t>1.5 Винная карта и фильтрованная вода (0..5)</t>
        </is>
      </c>
      <c r="T3" s="17" t="inlineStr">
        <is>
          <t>2.1 Signature Dish / Хит бистро (0..6)</t>
        </is>
      </c>
      <c r="U3" s="17" t="inlineStr">
        <is>
          <t>2.2 Крафтовая посуда и подача в стол (0..4)</t>
        </is>
      </c>
      <c r="V3" s="17" t="inlineStr">
        <is>
          <t>2.3 Комплимент от шефа и тапас (0..5)</t>
        </is>
      </c>
      <c r="W3" s="17" t="inlineStr">
        <is>
          <t>3.1 Справедливость наценки Food Cost (0..5)</t>
        </is>
      </c>
      <c r="X3" s="17" t="inlineStr">
        <is>
          <t>3.2 Честный выход порции и сытность (0..5)</t>
        </is>
      </c>
      <c r="Y3" s="17" t="inlineStr">
        <is>
          <t>3.3 Прозрачность счета без скрытых сборов (0..5)</t>
        </is>
      </c>
      <c r="Z3" s="17" t="inlineStr">
        <is>
          <t>4.1 Экспертиза официанта и знание меню (0..5)</t>
        </is>
      </c>
      <c r="AA3" s="17" t="inlineStr">
        <is>
          <t>4.2 Тайминг отдачи курсов (15-20 мин) (0..5)</t>
        </is>
      </c>
      <c r="AB3" s="17" t="inlineStr">
        <is>
          <t>4.3 Чистый стол и зачистка за 60 сек (0..5)</t>
        </is>
      </c>
      <c r="AC3" s="17" t="inlineStr">
        <is>
          <t>5.1 Диалог с улицей и открытые окна (0..4)</t>
        </is>
      </c>
      <c r="AD3" s="17" t="inlineStr">
        <is>
          <t>5.2 Эргономика столов и комфорт посадки (0..3)</t>
        </is>
      </c>
      <c r="AE3" s="17" t="inlineStr">
        <is>
          <t>5.3 Акустика &lt;=70 дБ и свет 2700K (0..3)</t>
        </is>
      </c>
      <c r="AF3" s="17" t="inlineStr">
        <is>
          <t>6.1 Чистота открытой кухни и хоспера (0..5)</t>
        </is>
      </c>
      <c r="AG3" s="17" t="inlineStr">
        <is>
          <t>6.2 Стерильность санузла и крем для рук (0..5)</t>
        </is>
      </c>
      <c r="AH3" s="17" t="inlineStr">
        <is>
          <t>ИТОГОВЫЙ БАЛЛ</t>
        </is>
      </c>
      <c r="AI3" s="17" t="inlineStr">
        <is>
          <t>ЗНАК КАЧЕСТВА / ГРЕЙД</t>
        </is>
      </c>
      <c r="AJ3" s="17" t="inlineStr">
        <is>
          <t>Индекс ценности</t>
        </is>
      </c>
      <c r="AK3" s="17" t="inlineStr">
        <is>
          <t>Фирменное блюдо</t>
        </is>
      </c>
      <c r="AL3" s="17" t="inlineStr">
        <is>
          <t>Отзыв на фирменное блюдо</t>
        </is>
      </c>
      <c r="AM3" s="17" t="inlineStr">
        <is>
          <t>Полная рецензия инспектора</t>
        </is>
      </c>
      <c r="AN3" s="17" t="inlineStr">
        <is>
          <t>Заметки аудитора (Private)</t>
        </is>
      </c>
      <c r="AO3" s="17" t="inlineStr">
        <is>
          <t>Урбанистика и среда</t>
        </is>
      </c>
      <c r="AP3" s="17" t="inlineStr">
        <is>
          <t>Эргономика и свет</t>
        </is>
      </c>
      <c r="AQ3" s="17" t="inlineStr">
        <is>
          <t>Плюсы заведения</t>
        </is>
      </c>
      <c r="AR3" s="17" t="inlineStr">
        <is>
          <t>Минусы заведения</t>
        </is>
      </c>
      <c r="AS3" s="17" t="inlineStr">
        <is>
          <t>Вайб-теги</t>
        </is>
      </c>
      <c r="AT3" s="17" t="inlineStr">
        <is>
          <t>Видеообложка (MP4)</t>
        </is>
      </c>
      <c r="AU3" s="17" t="inlineStr">
        <is>
          <t>Фотогалерея (JSON)</t>
        </is>
      </c>
      <c r="AV3" s="17" t="inlineStr">
        <is>
          <t>Широта (Lat)</t>
        </is>
      </c>
      <c r="AW3" s="17" t="inlineStr">
        <is>
          <t>Долгота (Lng)</t>
        </is>
      </c>
      <c r="AX3" s="17" t="inlineStr">
        <is>
          <t>Дата инспекции</t>
        </is>
      </c>
      <c r="AY3" s="17" t="inlineStr">
        <is>
          <t>Дата обновления</t>
        </is>
      </c>
    </row>
    <row r="4" ht="22" customHeight="1">
      <c r="A4" s="7" t="n">
        <v>4</v>
      </c>
      <c r="B4" s="7" t="inlineStr">
        <is>
          <t>published</t>
        </is>
      </c>
      <c r="C4" s="8" t="inlineStr">
        <is>
          <t>Сойка (Soyka)</t>
        </is>
      </c>
      <c r="D4" s="7" t="inlineStr">
        <is>
          <t>Рестораны &amp; Бистро</t>
        </is>
      </c>
      <c r="E4" s="7" t="inlineStr">
        <is>
          <t>Екатеринбург</t>
        </is>
      </c>
      <c r="F4" s="8" t="inlineStr">
        <is>
          <t>Центр</t>
        </is>
      </c>
      <c r="G4" s="8" t="inlineStr">
        <is>
          <t>ул. 8 Марта, 6</t>
        </is>
      </c>
      <c r="H4" s="8" t="inlineStr">
        <is>
          <t>+7 (343) 289-40-50</t>
        </is>
      </c>
      <c r="I4" s="8" t="inlineStr">
        <is>
          <t>https://restsoyka.ru</t>
        </is>
      </c>
      <c r="J4" s="8" t="inlineStr">
        <is>
          <t>Валентин Кузякин</t>
        </is>
      </c>
      <c r="K4" s="8" t="inlineStr">
        <is>
          <t>Азиатское нео-бистро с акцентом на локальные уральские специалитеты и морепродукты</t>
        </is>
      </c>
      <c r="L4" s="7" t="n">
        <v>2800</v>
      </c>
      <c r="M4" s="7" t="inlineStr">
        <is>
          <t>₽₽₽</t>
        </is>
      </c>
      <c r="N4" s="7" t="inlineStr">
        <is>
          <t>Высокий ($$$)</t>
        </is>
      </c>
      <c r="O4" s="7" t="n">
        <v>9</v>
      </c>
      <c r="P4" s="7" t="n">
        <v>8</v>
      </c>
      <c r="Q4" s="7" t="n">
        <v>7</v>
      </c>
      <c r="R4" s="7" t="n">
        <v>5</v>
      </c>
      <c r="S4" s="7" t="n">
        <v>4</v>
      </c>
      <c r="T4" s="7" t="n">
        <v>6</v>
      </c>
      <c r="U4" s="7" t="n">
        <v>4</v>
      </c>
      <c r="V4" s="7" t="n">
        <v>4</v>
      </c>
      <c r="W4" s="7" t="n">
        <v>5</v>
      </c>
      <c r="X4" s="7" t="n">
        <v>5</v>
      </c>
      <c r="Y4" s="7" t="n">
        <v>5</v>
      </c>
      <c r="Z4" s="7" t="n">
        <v>5</v>
      </c>
      <c r="AA4" s="7" t="n">
        <v>4</v>
      </c>
      <c r="AB4" s="7" t="n">
        <v>5</v>
      </c>
      <c r="AC4" s="7" t="n">
        <v>4</v>
      </c>
      <c r="AD4" s="7" t="n">
        <v>3</v>
      </c>
      <c r="AE4" s="7" t="n">
        <v>3</v>
      </c>
      <c r="AF4" s="7" t="n">
        <v>5</v>
      </c>
      <c r="AG4" s="7" t="n">
        <v>4</v>
      </c>
      <c r="AH4" s="5">
        <f>SUM(O4:AG4)</f>
        <v/>
      </c>
      <c r="AI4" s="6">
        <f>IF(AH4&gt;=90, "Знак Качества", IF(AH4&gt;=75, "Рекомендовано", IF(AH4&gt;=60, "Базовый уровень", "Посредственно")))</f>
        <v/>
      </c>
      <c r="AJ4" s="7" t="n">
        <v>9.1</v>
      </c>
      <c r="AK4" s="8" t="inlineStr">
        <is>
          <t>Тартар из гребешка с юдзу и хрустящим рисом</t>
        </is>
      </c>
      <c r="AL4" s="8" t="inlineStr">
        <is>
          <t>По субъективному мнению инспектора — чистейшая сладость свежего гребешка, подчеркнутая деликатной кислотностью юдзу и текстурным контрастом рисовых чипсов.</t>
        </is>
      </c>
      <c r="AM4" s="8" t="inlineStr">
        <is>
          <t>По нашей оценке, один из сильнейших гастрономических проектов Екатеринбурга. Точная адаптация азиатских техник и внимательный сервис формируют высокий стандарт уральской кухни.</t>
        </is>
      </c>
      <c r="AN4" s="8" t="inlineStr"/>
      <c r="AO4" s="8" t="inlineStr">
        <is>
          <t>Органичная интеграция входной группы в набережную Городского пруда, удобный пешеходный доступ и видовые окна.</t>
        </is>
      </c>
      <c r="AP4" s="8" t="inlineStr">
        <is>
          <t>Комфортная дистанция между столиками, стильное тактильное дерево в отделке и качественный акустический баланс.</t>
        </is>
      </c>
      <c r="AQ4" s="8" t="inlineStr">
        <is>
          <t>Свежесть рыбы и морепродуктов, быстрая подача холодных закусок за 8-10 минут, Оригинальная карта саке и авторских коктейлей с восточными мотивами, Внимательное и ненавязчивое сопровождение стола</t>
        </is>
      </c>
      <c r="AR4" s="8" t="inlineStr">
        <is>
          <t>В вечерний уикенд желательна заблаговременная бронь столиков у окон</t>
        </is>
      </c>
      <c r="AS4" s="8" t="inlineStr">
        <is>
          <t>Романтический ужин, Современная Азия, Знак Качества, Екатеринбург</t>
        </is>
      </c>
      <c r="AT4" s="8" t="inlineStr">
        <is>
          <t>https://storage.googleapis.com/gtv-videos-bucket/sample/ForBiggerEscapes.mp4</t>
        </is>
      </c>
      <c r="AU4" s="8" t="inlineStr">
        <is>
          <t>["https://images.unsplash.com/photo-1555396273-367ea4eb4db5?auto=format&amp;fit=crop&amp;w=1200&amp;q=80", "https://images.unsplash.com/photo-1517248135467-4c7edcad34c4?auto=format&amp;fit=crop&amp;w=1200&amp;q=80", "https://images.unsplash.com/photo-1550966871-3ed3cdb5ed0c?auto=format&amp;fit=crop&amp;w=1200&amp;q=80"]</t>
        </is>
      </c>
      <c r="AV4" s="7" t="n">
        <v>56.8378</v>
      </c>
      <c r="AW4" s="7" t="n">
        <v>60.5975</v>
      </c>
      <c r="AX4" s="7" t="inlineStr">
        <is>
          <t>2026-08-20</t>
        </is>
      </c>
      <c r="AY4" s="7" t="inlineStr">
        <is>
          <t>2026-08-26</t>
        </is>
      </c>
    </row>
    <row r="5" ht="22" customHeight="1">
      <c r="A5" s="3" t="n">
        <v>5</v>
      </c>
      <c r="B5" s="3" t="inlineStr">
        <is>
          <t>published</t>
        </is>
      </c>
      <c r="C5" s="4" t="inlineStr">
        <is>
          <t>Гастроли (Gastroli)</t>
        </is>
      </c>
      <c r="D5" s="3" t="inlineStr">
        <is>
          <t>Рестораны &amp; Бистро</t>
        </is>
      </c>
      <c r="E5" s="3" t="inlineStr">
        <is>
          <t>Екатеринбург</t>
        </is>
      </c>
      <c r="F5" s="4" t="inlineStr">
        <is>
          <t>Центр</t>
        </is>
      </c>
      <c r="G5" s="4" t="inlineStr">
        <is>
          <t>ул. 8 Марта, 4</t>
        </is>
      </c>
      <c r="H5" s="4" t="inlineStr">
        <is>
          <t>+7 (343) 378-00-08</t>
        </is>
      </c>
      <c r="I5" s="4" t="inlineStr">
        <is>
          <t>https://gastroli.pub</t>
        </is>
      </c>
      <c r="J5" s="4" t="inlineStr">
        <is>
          <t>Эдуард Архипов</t>
        </is>
      </c>
      <c r="K5" s="4" t="inlineStr">
        <is>
          <t>Гастрономическое бистро с дровяной печью, авторской пиццей и локальными продуктами</t>
        </is>
      </c>
      <c r="L5" s="3" t="n">
        <v>2500</v>
      </c>
      <c r="M5" s="3" t="inlineStr">
        <is>
          <t>₽₽₽</t>
        </is>
      </c>
      <c r="N5" s="3" t="inlineStr">
        <is>
          <t>Высокий ($$$)</t>
        </is>
      </c>
      <c r="O5" s="3" t="n">
        <v>9</v>
      </c>
      <c r="P5" s="3" t="n">
        <v>8</v>
      </c>
      <c r="Q5" s="3" t="n">
        <v>7</v>
      </c>
      <c r="R5" s="3" t="n">
        <v>5</v>
      </c>
      <c r="S5" s="3" t="n">
        <v>4</v>
      </c>
      <c r="T5" s="3" t="n">
        <v>6</v>
      </c>
      <c r="U5" s="3" t="n">
        <v>4</v>
      </c>
      <c r="V5" s="3" t="n">
        <v>4</v>
      </c>
      <c r="W5" s="3" t="n">
        <v>5</v>
      </c>
      <c r="X5" s="3" t="n">
        <v>5</v>
      </c>
      <c r="Y5" s="3" t="n">
        <v>5</v>
      </c>
      <c r="Z5" s="3" t="n">
        <v>5</v>
      </c>
      <c r="AA5" s="3" t="n">
        <v>4</v>
      </c>
      <c r="AB5" s="3" t="n">
        <v>5</v>
      </c>
      <c r="AC5" s="3" t="n">
        <v>4</v>
      </c>
      <c r="AD5" s="3" t="n">
        <v>3</v>
      </c>
      <c r="AE5" s="3" t="n">
        <v>3</v>
      </c>
      <c r="AF5" s="3" t="n">
        <v>5</v>
      </c>
      <c r="AG5" s="3" t="n">
        <v>4</v>
      </c>
      <c r="AH5" s="5">
        <f>SUM(O5:AG5)</f>
        <v/>
      </c>
      <c r="AI5" s="6">
        <f>IF(AH5&gt;=90, "Знак Качества", IF(AH5&gt;=75, "Рекомендовано", IF(AH5&gt;=60, "Базовый уровень", "Посредственно")))</f>
        <v/>
      </c>
      <c r="AJ5" s="3" t="n">
        <v>9</v>
      </c>
      <c r="AK5" s="4" t="inlineStr">
        <is>
          <t>Пицца из дровяной печи с уткой и вяленой клюквой</t>
        </is>
      </c>
      <c r="AL5" s="4" t="inlineStr">
        <is>
          <t>По оценке тайного гостя — воздушное леопардовое тесто долгой ферментации, сочное мясо утки и яркий кисло-сладкий акцент лесных ягод.</t>
        </is>
      </c>
      <c r="AM5" s="4" t="inlineStr">
        <is>
          <t>По нашему впечатлению, «Гастроли» задают высокую планку для бистро в регионах. Живой огонь дровяной печи и расслабленная европейская атмосфера создают ощущение постоянного праздника.</t>
        </is>
      </c>
      <c r="AN5" s="4" t="inlineStr"/>
      <c r="AO5" s="4" t="inlineStr">
        <is>
          <t>Уютная летняя терраса с видом на историческую застройку улицы 8 Марта и безбарьерный вход.</t>
        </is>
      </c>
      <c r="AP5" s="4" t="inlineStr">
        <is>
          <t>Открытая посадка у открытой кухни, качественная вытяжка без дыма и устойчивые дубовые столы.</t>
        </is>
      </c>
      <c r="AQ5" s="4" t="inlineStr">
        <is>
          <t>Мастерская работа с дровяной печью и ферментацией теста, Высокая скорость отдачи горячего даже при 100% посадке зала, Стерильность открытой кухни и зоны раздачи</t>
        </is>
      </c>
      <c r="AR5" s="4" t="inlineStr">
        <is>
          <t>В часы полной посадки в центральном зале уровень шума может быть выше среднего</t>
        </is>
      </c>
      <c r="AS5" s="4" t="inlineStr">
        <is>
          <t>Дровяная печь, Дружеская встреча, Знак Качества, Екатеринбург</t>
        </is>
      </c>
      <c r="AT5" s="4" t="inlineStr">
        <is>
          <t>https://storage.googleapis.com/gtv-videos-bucket/sample/ForBiggerBlazes.mp4</t>
        </is>
      </c>
      <c r="AU5" s="4" t="inlineStr">
        <is>
          <t>["https://images.unsplash.com/photo-1513104890138-7c749659a591?auto=format&amp;fit=crop&amp;w=1200&amp;q=80", "https://images.unsplash.com/photo-1555396273-367ea4eb4db5?auto=format&amp;fit=crop&amp;w=1200&amp;q=80", "https://images.unsplash.com/photo-1544025162-d76694265947?auto=format&amp;fit=crop&amp;w=1200&amp;q=80"]</t>
        </is>
      </c>
      <c r="AV5" s="3" t="n">
        <v>56.8385</v>
      </c>
      <c r="AW5" s="3" t="n">
        <v>60.5982</v>
      </c>
      <c r="AX5" s="3" t="inlineStr">
        <is>
          <t>2026-08-19</t>
        </is>
      </c>
      <c r="AY5" s="3" t="inlineStr">
        <is>
          <t>2026-08-26</t>
        </is>
      </c>
    </row>
    <row r="6" ht="22" customHeight="1">
      <c r="A6" s="7" t="n">
        <v>6</v>
      </c>
      <c r="B6" s="7" t="inlineStr">
        <is>
          <t>published</t>
        </is>
      </c>
      <c r="C6" s="8" t="inlineStr">
        <is>
          <t>Duo Gastrobar</t>
        </is>
      </c>
      <c r="D6" s="7" t="inlineStr">
        <is>
          <t>Рестораны &amp; Бистро</t>
        </is>
      </c>
      <c r="E6" s="7" t="inlineStr">
        <is>
          <t>СПб</t>
        </is>
      </c>
      <c r="F6" s="8" t="inlineStr">
        <is>
          <t>Центральный</t>
        </is>
      </c>
      <c r="G6" s="8" t="inlineStr">
        <is>
          <t>ул. Кирочная, 8А</t>
        </is>
      </c>
      <c r="H6" s="8" t="inlineStr">
        <is>
          <t>+7 (812) 994-54-43</t>
        </is>
      </c>
      <c r="I6" s="8" t="inlineStr">
        <is>
          <t>https://duoband.ru</t>
        </is>
      </c>
      <c r="J6" s="8" t="inlineStr">
        <is>
          <t>Дмитрий Блинов &amp; Ренат Маликов</t>
        </is>
      </c>
      <c r="K6" s="8" t="inlineStr">
        <is>
          <t>Культовый авторский гастробар, открывший эпоху доступной авторской кухни</t>
        </is>
      </c>
      <c r="L6" s="7" t="n">
        <v>2600</v>
      </c>
      <c r="M6" s="7" t="inlineStr">
        <is>
          <t>₽₽₽</t>
        </is>
      </c>
      <c r="N6" s="7" t="inlineStr">
        <is>
          <t>Высокий ($$$)</t>
        </is>
      </c>
      <c r="O6" s="7" t="n">
        <v>9</v>
      </c>
      <c r="P6" s="7" t="n">
        <v>8</v>
      </c>
      <c r="Q6" s="7" t="n">
        <v>7</v>
      </c>
      <c r="R6" s="7" t="n">
        <v>5</v>
      </c>
      <c r="S6" s="7" t="n">
        <v>4</v>
      </c>
      <c r="T6" s="7" t="n">
        <v>6</v>
      </c>
      <c r="U6" s="7" t="n">
        <v>4</v>
      </c>
      <c r="V6" s="7" t="n">
        <v>4</v>
      </c>
      <c r="W6" s="7" t="n">
        <v>5</v>
      </c>
      <c r="X6" s="7" t="n">
        <v>5</v>
      </c>
      <c r="Y6" s="7" t="n">
        <v>5</v>
      </c>
      <c r="Z6" s="7" t="n">
        <v>5</v>
      </c>
      <c r="AA6" s="7" t="n">
        <v>4</v>
      </c>
      <c r="AB6" s="7" t="n">
        <v>5</v>
      </c>
      <c r="AC6" s="7" t="n">
        <v>4</v>
      </c>
      <c r="AD6" s="7" t="n">
        <v>3</v>
      </c>
      <c r="AE6" s="7" t="n">
        <v>3</v>
      </c>
      <c r="AF6" s="7" t="n">
        <v>5</v>
      </c>
      <c r="AG6" s="7" t="n">
        <v>4</v>
      </c>
      <c r="AH6" s="5">
        <f>SUM(O6:AG6)</f>
        <v/>
      </c>
      <c r="AI6" s="6">
        <f>IF(AH6&gt;=90, "Знак Качества", IF(AH6&gt;=75, "Рекомендовано", IF(AH6&gt;=60, "Базовый уровень", "Посредственно")))</f>
        <v/>
      </c>
      <c r="AJ6" s="7" t="n">
        <v>9.199999999999999</v>
      </c>
      <c r="AK6" s="8" t="inlineStr">
        <is>
          <t>Тартар из говядины с муссом из пармезана</t>
        </is>
      </c>
      <c r="AL6" s="8" t="inlineStr">
        <is>
          <t>По субъективному суждению инспектора — эталонная мелкая нарезка выдержанной говядины, воздушная сливочная эмульсия сыра и сбалансированная хрустящая чипса.</t>
        </is>
      </c>
      <c r="AM6" s="8" t="inlineStr">
        <is>
          <t>По нашей оценке, классический пример гастрономического минимализма, где во главе угла стоит чистый вкус продукта и честная ценовая политика.</t>
        </is>
      </c>
      <c r="AN6" s="8" t="inlineStr"/>
      <c r="AO6" s="8" t="inlineStr">
        <is>
          <t>Лаконичный вход со спокойной Кирочной улицы рядом со станцией метро Чернышевская.</t>
        </is>
      </c>
      <c r="AP6" s="8" t="inlineStr">
        <is>
          <t>Компактный зал с плотной европейской посадкой и акцентным светом над каждым столом.</t>
        </is>
      </c>
      <c r="AQ6" s="8" t="inlineStr">
        <is>
          <t>Выверенный баланс специй и соусов в каждом блюде, Один из лучших показателей честной ценности (Value for Money) в Санкт-Петербурге, Быстрый профессиональный сервис</t>
        </is>
      </c>
      <c r="AR6" s="8" t="inlineStr">
        <is>
          <t>Плотная расстановка столов предполагает камерный формат общения</t>
        </is>
      </c>
      <c r="AS6" s="8" t="inlineStr">
        <is>
          <t>Авторская кухня, Знак Качества, Гастрономический ужин, Петербург</t>
        </is>
      </c>
      <c r="AT6" s="8" t="inlineStr">
        <is>
          <t>https://storage.googleapis.com/gtv-videos-bucket/sample/ForBiggerFun.mp4</t>
        </is>
      </c>
      <c r="AU6" s="8" t="inlineStr">
        <is>
          <t>["https://images.unsplash.com/photo-1544025162-d76694265947?auto=format&amp;fit=crop&amp;w=1200&amp;q=80", "https://images.unsplash.com/photo-1517248135467-4c7edcad34c4?auto=format&amp;fit=crop&amp;w=1200&amp;q=80", "https://images.unsplash.com/photo-1550966871-3ed3cdb5ed0c?auto=format&amp;fit=crop&amp;w=1200&amp;q=80"]</t>
        </is>
      </c>
      <c r="AV6" s="7" t="n">
        <v>59.9438</v>
      </c>
      <c r="AW6" s="7" t="n">
        <v>30.3582</v>
      </c>
      <c r="AX6" s="7" t="inlineStr">
        <is>
          <t>2026-08-15</t>
        </is>
      </c>
      <c r="AY6" s="7" t="inlineStr">
        <is>
          <t>2026-08-26</t>
        </is>
      </c>
    </row>
    <row r="7" ht="22" customHeight="1">
      <c r="A7" s="3" t="n">
        <v>10</v>
      </c>
      <c r="B7" s="3" t="inlineStr">
        <is>
          <t>published</t>
        </is>
      </c>
      <c r="C7" s="4" t="inlineStr">
        <is>
          <t>Ku: Рамен Изакая</t>
        </is>
      </c>
      <c r="D7" s="3" t="inlineStr">
        <is>
          <t>Рестораны &amp; Бистро</t>
        </is>
      </c>
      <c r="E7" s="3" t="inlineStr">
        <is>
          <t>Москва</t>
        </is>
      </c>
      <c r="F7" s="4" t="inlineStr">
        <is>
          <t>Дорогомилово</t>
        </is>
      </c>
      <c r="G7" s="4" t="inlineStr">
        <is>
          <t>Кутузовский проспект, 2/1с1</t>
        </is>
      </c>
      <c r="H7" s="4" t="inlineStr">
        <is>
          <t>+7 (495) 783-08-40</t>
        </is>
      </c>
      <c r="I7" s="4" t="inlineStr">
        <is>
          <t>https://kuramen.ru</t>
        </is>
      </c>
      <c r="J7" s="4" t="inlineStr">
        <is>
          <t>Денис Лим</t>
        </is>
      </c>
      <c r="K7" s="4" t="inlineStr">
        <is>
          <t>Аутентичный японский рамен-бар с лапшой собственного производства и бульонами долгого вываривания</t>
        </is>
      </c>
      <c r="L7" s="3" t="n">
        <v>1800</v>
      </c>
      <c r="M7" s="3" t="inlineStr">
        <is>
          <t>₽₽</t>
        </is>
      </c>
      <c r="N7" s="3" t="inlineStr">
        <is>
          <t>Средний ($$)</t>
        </is>
      </c>
      <c r="O7" s="3" t="n">
        <v>9</v>
      </c>
      <c r="P7" s="3" t="n">
        <v>8</v>
      </c>
      <c r="Q7" s="3" t="n">
        <v>7</v>
      </c>
      <c r="R7" s="3" t="n">
        <v>5</v>
      </c>
      <c r="S7" s="3" t="n">
        <v>4</v>
      </c>
      <c r="T7" s="3" t="n">
        <v>6</v>
      </c>
      <c r="U7" s="3" t="n">
        <v>4</v>
      </c>
      <c r="V7" s="3" t="n">
        <v>4</v>
      </c>
      <c r="W7" s="3" t="n">
        <v>5</v>
      </c>
      <c r="X7" s="3" t="n">
        <v>5</v>
      </c>
      <c r="Y7" s="3" t="n">
        <v>5</v>
      </c>
      <c r="Z7" s="3" t="n">
        <v>5</v>
      </c>
      <c r="AA7" s="3" t="n">
        <v>4</v>
      </c>
      <c r="AB7" s="3" t="n">
        <v>5</v>
      </c>
      <c r="AC7" s="3" t="n">
        <v>4</v>
      </c>
      <c r="AD7" s="3" t="n">
        <v>3</v>
      </c>
      <c r="AE7" s="3" t="n">
        <v>3</v>
      </c>
      <c r="AF7" s="3" t="n">
        <v>5</v>
      </c>
      <c r="AG7" s="3" t="n">
        <v>4</v>
      </c>
      <c r="AH7" s="5">
        <f>SUM(O7:AG7)</f>
        <v/>
      </c>
      <c r="AI7" s="6">
        <f>IF(AH7&gt;=90, "Знак Качества", IF(AH7&gt;=75, "Рекомендовано", IF(AH7&gt;=60, "Базовый уровень", "Посредственно")))</f>
        <v/>
      </c>
      <c r="AJ7" s="3" t="n">
        <v>8.9</v>
      </c>
      <c r="AK7" s="4" t="inlineStr">
        <is>
          <t>Тонкоцу рамен на наваристом свином бульоне</t>
        </is>
      </c>
      <c r="AL7" s="4" t="inlineStr">
        <is>
          <t>По оценке тайного гостя — густой коллагеновый бульон 16-часовой выварки, упругая пшеничная лапша правильной текстуры и нежнейшая свинина тясю.</t>
        </is>
      </c>
      <c r="AM7" s="4" t="inlineStr">
        <is>
          <t>По нашему впечатлению, проект задает высокий уровень аутентичности японской кухни в Москве с честным выходом порций и быстрым ритмом кухни.</t>
        </is>
      </c>
      <c r="AN7" s="4" t="inlineStr"/>
      <c r="AO7" s="4" t="inlineStr">
        <is>
          <t>Удобное расположение у гостиницы «Украина» с видом на набережную Тараса Шевченко.</t>
        </is>
      </c>
      <c r="AP7" s="4" t="inlineStr">
        <is>
          <t>Формат японской изакаи с посадкой у стойки открытой кухни и быстрого обслуживания.</t>
        </is>
      </c>
      <c r="AQ7" s="4" t="inlineStr">
        <is>
          <t>Собственное производство свежей лапши на японском оборудовании, Глубокий насыщенный вкус аутентичных бульонов без искусственных добавок, Быстрая отдача заказа за 6-8 минут</t>
        </is>
      </c>
      <c r="AR7" s="4" t="inlineStr">
        <is>
          <t>В обеденные часы пик зал полностью заполнен и посадка идет в ритме живой очереди</t>
        </is>
      </c>
      <c r="AS7" s="4" t="inlineStr">
        <is>
          <t>Аутентичный рамен, Обед, Рекомендовано, Япония</t>
        </is>
      </c>
      <c r="AT7" s="4" t="inlineStr">
        <is>
          <t>https://storage.googleapis.com/gtv-videos-bucket/sample/ForBiggerJoyrides.mp4</t>
        </is>
      </c>
      <c r="AU7" s="4" t="inlineStr">
        <is>
          <t>["https://images.unsplash.com/photo-1569718212165-3a8278d5f624?auto=format&amp;fit=crop&amp;w=1200&amp;q=80", "https://images.unsplash.com/photo-1552611052-33e04de081de?auto=format&amp;fit=crop&amp;w=1200&amp;q=80", "https://images.unsplash.com/photo-1544025162-d76694265947?auto=format&amp;fit=crop&amp;w=1200&amp;q=80"]</t>
        </is>
      </c>
      <c r="AV7" s="3" t="n">
        <v>55.7515</v>
      </c>
      <c r="AW7" s="3" t="n">
        <v>37.5675</v>
      </c>
      <c r="AX7" s="3" t="inlineStr">
        <is>
          <t>2026-08-17</t>
        </is>
      </c>
      <c r="AY7" s="3" t="inlineStr">
        <is>
          <t>2026-08-26</t>
        </is>
      </c>
    </row>
  </sheetData>
  <mergeCells count="10">
    <mergeCell ref="T2:V2"/>
    <mergeCell ref="Z2:AB2"/>
    <mergeCell ref="O2:S2"/>
    <mergeCell ref="AC2:AE2"/>
    <mergeCell ref="A1:AY1"/>
    <mergeCell ref="A2:N2"/>
    <mergeCell ref="AK2:AY2"/>
    <mergeCell ref="AF2:AG2"/>
    <mergeCell ref="AH2:AJ2"/>
    <mergeCell ref="W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0" customWidth="1" min="4" max="4"/>
    <col width="14" customWidth="1" min="5" max="5"/>
    <col width="18" customWidth="1" min="6" max="6"/>
    <col width="28" customWidth="1" min="7" max="7"/>
    <col width="18" customWidth="1" min="8" max="8"/>
    <col width="22" customWidth="1" min="9" max="9"/>
    <col width="20" customWidth="1" min="10" max="10"/>
    <col width="28" customWidth="1" min="11" max="11"/>
    <col width="16" customWidth="1" min="12" max="12"/>
    <col width="15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8" customWidth="1" min="34" max="34"/>
    <col width="22" customWidth="1" min="35" max="35"/>
    <col width="16" customWidth="1" min="36" max="36"/>
    <col width="26" customWidth="1" min="37" max="37"/>
    <col width="32" customWidth="1" min="38" max="38"/>
    <col width="36" customWidth="1" min="39" max="39"/>
    <col width="30" customWidth="1" min="40" max="40"/>
    <col width="30" customWidth="1" min="41" max="41"/>
    <col width="30" customWidth="1" min="42" max="42"/>
    <col width="26" customWidth="1" min="43" max="43"/>
    <col width="26" customWidth="1" min="44" max="44"/>
    <col width="22" customWidth="1" min="45" max="45"/>
    <col width="26" customWidth="1" min="46" max="46"/>
    <col width="30" customWidth="1" min="47" max="47"/>
    <col width="14" customWidth="1" min="48" max="48"/>
    <col width="14" customWidth="1" min="49" max="49"/>
    <col width="15" customWidth="1" min="50" max="50"/>
    <col width="16" customWidth="1" min="51" max="51"/>
  </cols>
  <sheetData>
    <row r="1" ht="36" customHeight="1">
      <c r="A1" s="1" t="inlineStr">
        <is>
          <t>PLANKA GUIDE • СПЕЦИАЛИЗИРОВАННЫЙ КАЛЬКУЛЯТОР: СПЕШЕЛТИ-КОФЕЙНИ (100 БАЛЛОВ)</t>
        </is>
      </c>
    </row>
    <row r="2" ht="26" customHeight="1">
      <c r="A2" s="9" t="inlineStr">
        <is>
          <t>ПАСПОРТ ЗАВЕДЕНИЯ</t>
        </is>
      </c>
      <c r="O2" s="10" t="inlineStr">
        <is>
          <t>БЛОК 1: СЫРЬЕ И ОСНОВА (35 б.)</t>
        </is>
      </c>
      <c r="T2" s="11" t="inlineStr">
        <is>
          <t>БЛОК 2: WOW &amp; ПОДАЧА (15 б.)</t>
        </is>
      </c>
      <c r="W2" s="12" t="inlineStr">
        <is>
          <t>БЛОК 3: ЧЕСТНОСТЬ ЦЕНЫ (15 б.)</t>
        </is>
      </c>
      <c r="Z2" s="13" t="inlineStr">
        <is>
          <t>БЛОК 4: СЕРВИС &amp; ТАЙМИНГ (15 б.)</t>
        </is>
      </c>
      <c r="AC2" s="14" t="inlineStr">
        <is>
          <t>БЛОК 5: СРЕДА &amp; АКУСТИКА (10 б.)</t>
        </is>
      </c>
      <c r="AF2" s="15" t="inlineStr">
        <is>
          <t>БЛОК 6: САНИТАРИЯ (10 б.)</t>
        </is>
      </c>
      <c r="AH2" s="16" t="inlineStr">
        <is>
          <t>ИТОГИ &amp; ГРЕЙД</t>
        </is>
      </c>
      <c r="AK2" s="9" t="inlineStr">
        <is>
          <t>ДОСЬЕ, РЕЦЕНЗИЯ, МЕДИА &amp; КООРДИНАТЫ</t>
        </is>
      </c>
    </row>
    <row r="3" ht="32" customHeight="1">
      <c r="A3" s="17" t="inlineStr">
        <is>
          <t>ID</t>
        </is>
      </c>
      <c r="B3" s="17" t="inlineStr">
        <is>
          <t>Статус</t>
        </is>
      </c>
      <c r="C3" s="17" t="inlineStr">
        <is>
          <t>Название заведения</t>
        </is>
      </c>
      <c r="D3" s="17" t="inlineStr">
        <is>
          <t>Формат</t>
        </is>
      </c>
      <c r="E3" s="17" t="inlineStr">
        <is>
          <t>Город</t>
        </is>
      </c>
      <c r="F3" s="17" t="inlineStr">
        <is>
          <t>Район</t>
        </is>
      </c>
      <c r="G3" s="17" t="inlineStr">
        <is>
          <t>Адрес</t>
        </is>
      </c>
      <c r="H3" s="17" t="inlineStr">
        <is>
          <t>Телефон</t>
        </is>
      </c>
      <c r="I3" s="17" t="inlineStr">
        <is>
          <t>Бронь (URL)</t>
        </is>
      </c>
      <c r="J3" s="17" t="inlineStr">
        <is>
          <t>Шеф / Команда</t>
        </is>
      </c>
      <c r="K3" s="17" t="inlineStr">
        <is>
          <t>Концепция</t>
        </is>
      </c>
      <c r="L3" s="17" t="inlineStr">
        <is>
          <t>Средний чек (₽)</t>
        </is>
      </c>
      <c r="M3" s="17" t="inlineStr">
        <is>
          <t>Ценовой сегмент</t>
        </is>
      </c>
      <c r="N3" s="17" t="inlineStr">
        <is>
          <t>Категория цен</t>
        </is>
      </c>
      <c r="O3" s="17" t="inlineStr">
        <is>
          <t>1.1 100% арабика спешелти SCA 84+ (0..10)</t>
        </is>
      </c>
      <c r="P3" s="17" t="inlineStr">
        <is>
          <t>1.2 Молоко 3.2% и микропена 60-65C (0..8)</t>
        </is>
      </c>
      <c r="Q3" s="17" t="inlineStr">
        <is>
          <t>1.3 Чистота дескрипторов вкуса (0..7)</t>
        </is>
      </c>
      <c r="R3" s="17" t="inlineStr">
        <is>
          <t>1.4 Терморежим эспрессо и фильтра (0..5)</t>
        </is>
      </c>
      <c r="S3" s="17" t="inlineStr">
        <is>
          <t>1.5 Водоподготовка TDS 75-120 ppm (0..5)</t>
        </is>
      </c>
      <c r="T3" s="17" t="inlineStr">
        <is>
          <t>2.1 Авторский кофе / Батч-брю / V60 (0..6)</t>
        </is>
      </c>
      <c r="U3" s="17" t="inlineStr">
        <is>
          <t>2.2 Симметрия латте-арт и Loveramics (0..4)</t>
        </is>
      </c>
      <c r="V3" s="17" t="inlineStr">
        <is>
          <t>2.3 Крафтовая утренняя выпечка (0..5)</t>
        </is>
      </c>
      <c r="W3" s="17" t="inlineStr">
        <is>
          <t>3.1 Обоснованность цен на зерно и чашку (0..5)</t>
        </is>
      </c>
      <c r="X3" s="17" t="inlineStr">
        <is>
          <t>3.2 Честный объем чашки (SCA стандарты) (0..5)</t>
        </is>
      </c>
      <c r="Y3" s="17" t="inlineStr">
        <is>
          <t>3.3 Прозрачность чека без доплат за лед (0..5)</t>
        </is>
      </c>
      <c r="Z3" s="17" t="inlineStr">
        <is>
          <t>4.1 Экспертиза бариста (терруар/обработка) (0..5)</t>
        </is>
      </c>
      <c r="AA3" s="17" t="inlineStr">
        <is>
          <t>4.2 Скорость отдачи заказа (до 3-4 мин) (0..5)</t>
        </is>
      </c>
      <c r="AB3" s="17" t="inlineStr">
        <is>
          <t>4.3 Чистота столов и станция воды (0..5)</t>
        </is>
      </c>
      <c r="AC3" s="17" t="inlineStr">
        <is>
          <t>5.1 Витринные окна и входная группа (0..4)</t>
        </is>
      </c>
      <c r="AD3" s="17" t="inlineStr">
        <is>
          <t>5.2 Розетки 220V, Type-C и Wi-Fi &gt;=50M (0..3)</t>
        </is>
      </c>
      <c r="AE3" s="17" t="inlineStr">
        <is>
          <t>5.3 Акустика &lt;=68 дБ и свет 3000K (0..3)</t>
        </is>
      </c>
      <c r="AF3" s="17" t="inlineStr">
        <is>
          <t>6.1 Чистота паровой трубки стимера (0..5)</t>
        </is>
      </c>
      <c r="AG3" s="17" t="inlineStr">
        <is>
          <t>6.2 Стерильность санузла кофейни (0..5)</t>
        </is>
      </c>
      <c r="AH3" s="17" t="inlineStr">
        <is>
          <t>ИТОГОВЫЙ БАЛЛ</t>
        </is>
      </c>
      <c r="AI3" s="17" t="inlineStr">
        <is>
          <t>ЗНАК КАЧЕСТВА / ГРЕЙД</t>
        </is>
      </c>
      <c r="AJ3" s="17" t="inlineStr">
        <is>
          <t>Индекс ценности</t>
        </is>
      </c>
      <c r="AK3" s="17" t="inlineStr">
        <is>
          <t>Фирменное блюдо</t>
        </is>
      </c>
      <c r="AL3" s="17" t="inlineStr">
        <is>
          <t>Отзыв на фирменное блюдо</t>
        </is>
      </c>
      <c r="AM3" s="17" t="inlineStr">
        <is>
          <t>Полная рецензия инспектора</t>
        </is>
      </c>
      <c r="AN3" s="17" t="inlineStr">
        <is>
          <t>Заметки аудитора (Private)</t>
        </is>
      </c>
      <c r="AO3" s="17" t="inlineStr">
        <is>
          <t>Урбанистика и среда</t>
        </is>
      </c>
      <c r="AP3" s="17" t="inlineStr">
        <is>
          <t>Эргономика и свет</t>
        </is>
      </c>
      <c r="AQ3" s="17" t="inlineStr">
        <is>
          <t>Плюсы заведения</t>
        </is>
      </c>
      <c r="AR3" s="17" t="inlineStr">
        <is>
          <t>Минусы заведения</t>
        </is>
      </c>
      <c r="AS3" s="17" t="inlineStr">
        <is>
          <t>Вайб-теги</t>
        </is>
      </c>
      <c r="AT3" s="17" t="inlineStr">
        <is>
          <t>Видеообложка (MP4)</t>
        </is>
      </c>
      <c r="AU3" s="17" t="inlineStr">
        <is>
          <t>Фотогалерея (JSON)</t>
        </is>
      </c>
      <c r="AV3" s="17" t="inlineStr">
        <is>
          <t>Широта (Lat)</t>
        </is>
      </c>
      <c r="AW3" s="17" t="inlineStr">
        <is>
          <t>Долгота (Lng)</t>
        </is>
      </c>
      <c r="AX3" s="17" t="inlineStr">
        <is>
          <t>Дата инспекции</t>
        </is>
      </c>
      <c r="AY3" s="17" t="inlineStr">
        <is>
          <t>Дата обновления</t>
        </is>
      </c>
    </row>
    <row r="4" ht="22" customHeight="1">
      <c r="A4" s="7" t="n">
        <v>7</v>
      </c>
      <c r="B4" s="7" t="inlineStr">
        <is>
          <t>published</t>
        </is>
      </c>
      <c r="C4" s="8" t="inlineStr">
        <is>
          <t>Кофемания</t>
        </is>
      </c>
      <c r="D4" s="7" t="inlineStr">
        <is>
          <t>Спешелти-кофейни</t>
        </is>
      </c>
      <c r="E4" s="7" t="inlineStr">
        <is>
          <t>Москва</t>
        </is>
      </c>
      <c r="F4" s="8" t="inlineStr">
        <is>
          <t>Пресненский</t>
        </is>
      </c>
      <c r="G4" s="8" t="inlineStr">
        <is>
          <t>ул. Большая Никитская, 13/6</t>
        </is>
      </c>
      <c r="H4" s="8" t="inlineStr">
        <is>
          <t>+7 (495) 775-51-10</t>
        </is>
      </c>
      <c r="I4" s="8" t="inlineStr">
        <is>
          <t>https://coffeemania.ru</t>
        </is>
      </c>
      <c r="J4" s="8" t="inlineStr">
        <is>
          <t>Глеб Невейкин</t>
        </is>
      </c>
      <c r="K4" s="8" t="inlineStr">
        <is>
          <t>Премиальная кофейная классика, эталонный раф и стабильная гастрономия</t>
        </is>
      </c>
      <c r="L4" s="7" t="n">
        <v>2400</v>
      </c>
      <c r="M4" s="7" t="inlineStr">
        <is>
          <t>₽₽</t>
        </is>
      </c>
      <c r="N4" s="7" t="inlineStr">
        <is>
          <t>Средний ($$)</t>
        </is>
      </c>
      <c r="O4" s="7" t="n">
        <v>9</v>
      </c>
      <c r="P4" s="7" t="n">
        <v>8</v>
      </c>
      <c r="Q4" s="7" t="n">
        <v>6</v>
      </c>
      <c r="R4" s="7" t="n">
        <v>5</v>
      </c>
      <c r="S4" s="7" t="n">
        <v>4</v>
      </c>
      <c r="T4" s="7" t="n">
        <v>5</v>
      </c>
      <c r="U4" s="7" t="n">
        <v>4</v>
      </c>
      <c r="V4" s="7" t="n">
        <v>4</v>
      </c>
      <c r="W4" s="7" t="n">
        <v>5</v>
      </c>
      <c r="X4" s="7" t="n">
        <v>4</v>
      </c>
      <c r="Y4" s="7" t="n">
        <v>5</v>
      </c>
      <c r="Z4" s="7" t="n">
        <v>5</v>
      </c>
      <c r="AA4" s="7" t="n">
        <v>4</v>
      </c>
      <c r="AB4" s="7" t="n">
        <v>4</v>
      </c>
      <c r="AC4" s="7" t="n">
        <v>4</v>
      </c>
      <c r="AD4" s="7" t="n">
        <v>3</v>
      </c>
      <c r="AE4" s="7" t="n">
        <v>3</v>
      </c>
      <c r="AF4" s="7" t="n">
        <v>5</v>
      </c>
      <c r="AG4" s="7" t="n">
        <v>4</v>
      </c>
      <c r="AH4" s="5">
        <f>SUM(O4:AG4)</f>
        <v/>
      </c>
      <c r="AI4" s="6">
        <f>IF(AH4&gt;=90, "Знак Качества", IF(AH4&gt;=75, "Рекомендовано", IF(AH4&gt;=60, "Базовый уровень", "Посредственно")))</f>
        <v/>
      </c>
      <c r="AJ4" s="7" t="n">
        <v>7.9</v>
      </c>
      <c r="AK4" s="8" t="inlineStr">
        <is>
          <t>Кофе Раф Ванильный и сырники со сметаной</t>
        </is>
      </c>
      <c r="AL4" s="8" t="inlineStr">
        <is>
          <t>По авторскому мнению инспектора — бархатистая шелковистая микропена с натуральной ванилью и нежные сырники с минимальным содержанием муки.</t>
        </is>
      </c>
      <c r="AM4" s="8" t="inlineStr">
        <is>
          <t>По нашему впечатлению, эталон стабильности ресторанного сервиса Москвы. Кофе варится на зерне безупречного качества с выверенной водоподготовкой.</t>
        </is>
      </c>
      <c r="AN4" s="8" t="inlineStr"/>
      <c r="AO4" s="8" t="inlineStr">
        <is>
          <t>Видовая терраса на Большой Никитской с органичным включением в прогулочный маршрут центра столицы.</t>
        </is>
      </c>
      <c r="AP4" s="8" t="inlineStr">
        <is>
          <t>Удобные полукресла, наличие розеток у большинства столов и комфортный фоновый звук.</t>
        </is>
      </c>
      <c r="AQ4" s="8" t="inlineStr">
        <is>
          <t>Неизменная стабильность вкуса кофейных напитков на протяжении многих лет, Удобство для деловых встреч и работы с ноутбуком, Высокая скорость подачи блюд основного меню</t>
        </is>
      </c>
      <c r="AR4" s="8" t="inlineStr">
        <is>
          <t>По нашему мнению, наценка на позиции десертной витрины выше среднего уровня по рынку кофеен</t>
        </is>
      </c>
      <c r="AS4" s="8" t="inlineStr">
        <is>
          <t>Кофе и ноутбук, Деловая встреча, Завтрак, Центр города</t>
        </is>
      </c>
      <c r="AT4" s="8" t="inlineStr">
        <is>
          <t>https://storage.googleapis.com/gtv-videos-bucket/sample/ForBiggerMeltdowns.mp4</t>
        </is>
      </c>
      <c r="AU4" s="8" t="inlineStr">
        <is>
          <t>["https://images.unsplash.com/photo-1501339847302-ac426a4a7cbb?auto=format&amp;fit=crop&amp;w=1200&amp;q=80", "https://images.unsplash.com/photo-1495474472287-4d71bcdd2085?auto=format&amp;fit=crop&amp;w=1200&amp;q=80", "https://images.unsplash.com/photo-1554118811-1e0d58224f24?auto=format&amp;fit=crop&amp;w=1200&amp;q=80"]</t>
        </is>
      </c>
      <c r="AV4" s="7" t="n">
        <v>55.7565</v>
      </c>
      <c r="AW4" s="7" t="n">
        <v>37.6045</v>
      </c>
      <c r="AX4" s="7" t="inlineStr">
        <is>
          <t>2026-08-11</t>
        </is>
      </c>
      <c r="AY4" s="7" t="inlineStr">
        <is>
          <t>2026-08-26</t>
        </is>
      </c>
    </row>
    <row r="5" ht="22" customHeight="1">
      <c r="A5" s="3" t="n">
        <v>9</v>
      </c>
      <c r="B5" s="3" t="inlineStr">
        <is>
          <t>published</t>
        </is>
      </c>
      <c r="C5" s="4" t="inlineStr">
        <is>
          <t>Engels Кофе и Вафли</t>
        </is>
      </c>
      <c r="D5" s="3" t="inlineStr">
        <is>
          <t>Спешелти-кофейни</t>
        </is>
      </c>
      <c r="E5" s="3" t="inlineStr">
        <is>
          <t>Екатеринбург</t>
        </is>
      </c>
      <c r="F5" s="4" t="inlineStr">
        <is>
          <t>Центр</t>
        </is>
      </c>
      <c r="G5" s="4" t="inlineStr">
        <is>
          <t>ул. Малышева, 21/4</t>
        </is>
      </c>
      <c r="H5" s="4" t="inlineStr">
        <is>
          <t>+7 (343) 310-21-44</t>
        </is>
      </c>
      <c r="I5" s="4" t="inlineStr">
        <is>
          <t>https://engels.rest</t>
        </is>
      </c>
      <c r="J5" s="4" t="inlineStr">
        <is>
          <t>Команда Engels</t>
        </is>
      </c>
      <c r="K5" s="4" t="inlineStr">
        <is>
          <t>Спешелти-кофе, фирменные сытные и сладкие вафли и современная городская среда</t>
        </is>
      </c>
      <c r="L5" s="3" t="n">
        <v>1100</v>
      </c>
      <c r="M5" s="3" t="inlineStr">
        <is>
          <t>₽₽</t>
        </is>
      </c>
      <c r="N5" s="3" t="inlineStr">
        <is>
          <t>Средний ($$)</t>
        </is>
      </c>
      <c r="O5" s="3" t="n">
        <v>9</v>
      </c>
      <c r="P5" s="3" t="n">
        <v>8</v>
      </c>
      <c r="Q5" s="3" t="n">
        <v>6</v>
      </c>
      <c r="R5" s="3" t="n">
        <v>5</v>
      </c>
      <c r="S5" s="3" t="n">
        <v>4</v>
      </c>
      <c r="T5" s="3" t="n">
        <v>5</v>
      </c>
      <c r="U5" s="3" t="n">
        <v>4</v>
      </c>
      <c r="V5" s="3" t="n">
        <v>4</v>
      </c>
      <c r="W5" s="3" t="n">
        <v>5</v>
      </c>
      <c r="X5" s="3" t="n">
        <v>4</v>
      </c>
      <c r="Y5" s="3" t="n">
        <v>5</v>
      </c>
      <c r="Z5" s="3" t="n">
        <v>5</v>
      </c>
      <c r="AA5" s="3" t="n">
        <v>4</v>
      </c>
      <c r="AB5" s="3" t="n">
        <v>4</v>
      </c>
      <c r="AC5" s="3" t="n">
        <v>4</v>
      </c>
      <c r="AD5" s="3" t="n">
        <v>3</v>
      </c>
      <c r="AE5" s="3" t="n">
        <v>3</v>
      </c>
      <c r="AF5" s="3" t="n">
        <v>5</v>
      </c>
      <c r="AG5" s="3" t="n">
        <v>4</v>
      </c>
      <c r="AH5" s="5">
        <f>SUM(O5:AG5)</f>
        <v/>
      </c>
      <c r="AI5" s="6">
        <f>IF(AH5&gt;=90, "Знак Качества", IF(AH5&gt;=75, "Рекомендовано", IF(AH5&gt;=60, "Базовый уровень", "Посредственно")))</f>
        <v/>
      </c>
      <c r="AJ5" s="3" t="n">
        <v>9</v>
      </c>
      <c r="AK5" s="4" t="inlineStr">
        <is>
          <t>Хрустящая вафля с лососем слабой соли и яйцом пашот</t>
        </is>
      </c>
      <c r="AL5" s="4" t="inlineStr">
        <is>
          <t>По впечатлению инспектора — идеальный контраст хрустящей корочки вафли, нежного желтка пашот и качественного слабосоленого лосося.</t>
        </is>
      </c>
      <c r="AM5" s="4" t="inlineStr">
        <is>
          <t>По нашей оценке, один из самых популярных и стабильных утренних спотов Екатеринбурга. Высокая планка спешелти-зерна и дружелюбный сервис.</t>
        </is>
      </c>
      <c r="AN5" s="4" t="inlineStr"/>
      <c r="AO5" s="4" t="inlineStr">
        <is>
          <t>Интеграция в перекресток улиц Малышева и Хохрякова, большие витражные окна и активный пешеходный трафик.</t>
        </is>
      </c>
      <c r="AP5" s="4" t="inlineStr">
        <is>
          <t>Зонирование на высокие столы для ноутбуков и мягкие диваны для неспешных завтраков.</t>
        </is>
      </c>
      <c r="AQ5" s="4" t="inlineStr">
        <is>
          <t>Свежая обжарка арабики и стабильная экстракция эспрессо, Щедрые порции фирменных вафель, Чистота зала и открытой стойки бариста</t>
        </is>
      </c>
      <c r="AR5" s="4" t="inlineStr">
        <is>
          <t>В выходные дни посадка осуществляется в порядке живой очереди</t>
        </is>
      </c>
      <c r="AS5" s="4" t="inlineStr">
        <is>
          <t>Завтрак весь день, Кофе и ноутбук, Рекомендовано, Екатеринбург</t>
        </is>
      </c>
      <c r="AT5" s="4" t="inlineStr">
        <is>
          <t>https://storage.googleapis.com/gtv-videos-bucket/sample/SubaruOutbackSeeTheWorld.mp4</t>
        </is>
      </c>
      <c r="AU5" s="4" t="inlineStr">
        <is>
          <t>["https://images.unsplash.com/photo-1562376552-0d160a2f238d?auto=format&amp;fit=crop&amp;w=1200&amp;q=80", "https://images.unsplash.com/photo-1501339847302-ac426a4a7cbb?auto=format&amp;fit=crop&amp;w=1200&amp;q=80", "https://images.unsplash.com/photo-1554118811-1e0d58224f24?auto=format&amp;fit=crop&amp;w=1200&amp;q=80"]</t>
        </is>
      </c>
      <c r="AV5" s="3" t="n">
        <v>56.8345</v>
      </c>
      <c r="AW5" s="3" t="n">
        <v>60.5938</v>
      </c>
      <c r="AX5" s="3" t="inlineStr">
        <is>
          <t>2026-08-16</t>
        </is>
      </c>
      <c r="AY5" s="3" t="inlineStr">
        <is>
          <t>2026-08-26</t>
        </is>
      </c>
    </row>
  </sheetData>
  <mergeCells count="10">
    <mergeCell ref="T2:V2"/>
    <mergeCell ref="Z2:AB2"/>
    <mergeCell ref="O2:S2"/>
    <mergeCell ref="AC2:AE2"/>
    <mergeCell ref="A1:AY1"/>
    <mergeCell ref="A2:N2"/>
    <mergeCell ref="AK2:AY2"/>
    <mergeCell ref="AF2:AG2"/>
    <mergeCell ref="AH2:AJ2"/>
    <mergeCell ref="W2:Y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0" customWidth="1" min="4" max="4"/>
    <col width="14" customWidth="1" min="5" max="5"/>
    <col width="18" customWidth="1" min="6" max="6"/>
    <col width="28" customWidth="1" min="7" max="7"/>
    <col width="18" customWidth="1" min="8" max="8"/>
    <col width="22" customWidth="1" min="9" max="9"/>
    <col width="20" customWidth="1" min="10" max="10"/>
    <col width="28" customWidth="1" min="11" max="11"/>
    <col width="16" customWidth="1" min="12" max="12"/>
    <col width="15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8" customWidth="1" min="34" max="34"/>
    <col width="22" customWidth="1" min="35" max="35"/>
    <col width="16" customWidth="1" min="36" max="36"/>
    <col width="26" customWidth="1" min="37" max="37"/>
    <col width="32" customWidth="1" min="38" max="38"/>
    <col width="36" customWidth="1" min="39" max="39"/>
    <col width="30" customWidth="1" min="40" max="40"/>
    <col width="30" customWidth="1" min="41" max="41"/>
    <col width="30" customWidth="1" min="42" max="42"/>
    <col width="26" customWidth="1" min="43" max="43"/>
    <col width="26" customWidth="1" min="44" max="44"/>
    <col width="22" customWidth="1" min="45" max="45"/>
    <col width="26" customWidth="1" min="46" max="46"/>
    <col width="30" customWidth="1" min="47" max="47"/>
    <col width="14" customWidth="1" min="48" max="48"/>
    <col width="14" customWidth="1" min="49" max="49"/>
    <col width="15" customWidth="1" min="50" max="50"/>
    <col width="16" customWidth="1" min="51" max="51"/>
  </cols>
  <sheetData>
    <row r="1" ht="36" customHeight="1">
      <c r="A1" s="1" t="inlineStr">
        <is>
          <t>PLANKA GUIDE • СПЕЦИАЛИЗИРОВАННЫЙ КАЛЬКУЛЯТОР: КОКТЕЙЛЬНЫЕ БАРЫ (100 БАЛЛОВ)</t>
        </is>
      </c>
    </row>
    <row r="2" ht="26" customHeight="1">
      <c r="A2" s="9" t="inlineStr">
        <is>
          <t>ПАСПОРТ ЗАВЕДЕНИЯ</t>
        </is>
      </c>
      <c r="O2" s="10" t="inlineStr">
        <is>
          <t>БЛОК 1: СЫРЬЕ И ОСНОВА (35 б.)</t>
        </is>
      </c>
      <c r="T2" s="11" t="inlineStr">
        <is>
          <t>БЛОК 2: WOW &amp; ПОДАЧА (15 б.)</t>
        </is>
      </c>
      <c r="W2" s="12" t="inlineStr">
        <is>
          <t>БЛОК 3: ЧЕСТНОСТЬ ЦЕНЫ (15 б.)</t>
        </is>
      </c>
      <c r="Z2" s="13" t="inlineStr">
        <is>
          <t>БЛОК 4: СЕРВИС &amp; ТАЙМИНГ (15 б.)</t>
        </is>
      </c>
      <c r="AC2" s="14" t="inlineStr">
        <is>
          <t>БЛОК 5: СРЕДА &amp; АКУСТИКА (10 б.)</t>
        </is>
      </c>
      <c r="AF2" s="15" t="inlineStr">
        <is>
          <t>БЛОК 6: САНИТАРИЯ (10 б.)</t>
        </is>
      </c>
      <c r="AH2" s="16" t="inlineStr">
        <is>
          <t>ИТОГИ &amp; ГРЕЙД</t>
        </is>
      </c>
      <c r="AK2" s="9" t="inlineStr">
        <is>
          <t>ДОСЬЕ, РЕЦЕНЗИЯ, МЕДИА &amp; КООРДИНАТЫ</t>
        </is>
      </c>
    </row>
    <row r="3" ht="32" customHeight="1">
      <c r="A3" s="17" t="inlineStr">
        <is>
          <t>ID</t>
        </is>
      </c>
      <c r="B3" s="17" t="inlineStr">
        <is>
          <t>Статус</t>
        </is>
      </c>
      <c r="C3" s="17" t="inlineStr">
        <is>
          <t>Название заведения</t>
        </is>
      </c>
      <c r="D3" s="17" t="inlineStr">
        <is>
          <t>Формат</t>
        </is>
      </c>
      <c r="E3" s="17" t="inlineStr">
        <is>
          <t>Город</t>
        </is>
      </c>
      <c r="F3" s="17" t="inlineStr">
        <is>
          <t>Район</t>
        </is>
      </c>
      <c r="G3" s="17" t="inlineStr">
        <is>
          <t>Адрес</t>
        </is>
      </c>
      <c r="H3" s="17" t="inlineStr">
        <is>
          <t>Телефон</t>
        </is>
      </c>
      <c r="I3" s="17" t="inlineStr">
        <is>
          <t>Бронь (URL)</t>
        </is>
      </c>
      <c r="J3" s="17" t="inlineStr">
        <is>
          <t>Шеф / Команда</t>
        </is>
      </c>
      <c r="K3" s="17" t="inlineStr">
        <is>
          <t>Концепция</t>
        </is>
      </c>
      <c r="L3" s="17" t="inlineStr">
        <is>
          <t>Средний чек (₽)</t>
        </is>
      </c>
      <c r="M3" s="17" t="inlineStr">
        <is>
          <t>Ценовой сегмент</t>
        </is>
      </c>
      <c r="N3" s="17" t="inlineStr">
        <is>
          <t>Категория цен</t>
        </is>
      </c>
      <c r="O3" s="17" t="inlineStr">
        <is>
          <t>1.1 Базовый алкоголь премиум и дистилляты (0..10)</t>
        </is>
      </c>
      <c r="P3" s="17" t="inlineStr">
        <is>
          <t>1.2 Монолитный лед Clinebell 5x5 см (0..8)</t>
        </is>
      </c>
      <c r="Q3" s="17" t="inlineStr">
        <is>
          <t>1.3 Авторские кордиалы, биттеры и шрабы (0..7)</t>
        </is>
      </c>
      <c r="R3" s="17" t="inlineStr">
        <is>
          <t>1.4 Температура стира -2..-4C и Dilution (0..5)</t>
        </is>
      </c>
      <c r="S3" s="17" t="inlineStr">
        <is>
          <t>1.5 Welcome Water со льдом за 45 сек (0..5)</t>
        </is>
      </c>
      <c r="T3" s="17" t="inlineStr">
        <is>
          <t>2.1 Signature Cocktail / Авторский твист (0..6)</t>
        </is>
      </c>
      <c r="U3" s="17" t="inlineStr">
        <is>
          <t>2.2 Тонкое стекло Nick &amp; Nora и Zero Drops (0..4)</t>
        </is>
      </c>
      <c r="V3" s="17" t="inlineStr">
        <is>
          <t>2.3 Welcome Drink и барный снек (0..5)</t>
        </is>
      </c>
      <c r="W3" s="17" t="inlineStr">
        <is>
          <t>3.1 Обоснованность наценки на коктейли (0..5)</t>
        </is>
      </c>
      <c r="X3" s="17" t="inlineStr">
        <is>
          <t>3.2 Честный налив чистого спирта &gt;=50 мл (0..5)</t>
        </is>
      </c>
      <c r="Y3" s="17" t="inlineStr">
        <is>
          <t>3.3 Прозрачность счета без скрытых позиций (0..5)</t>
        </is>
      </c>
      <c r="Z3" s="17" t="inlineStr">
        <is>
          <t>4.1 Харизма бармена и Bespoke подбор (0..5)</t>
        </is>
      </c>
      <c r="AA3" s="17" t="inlineStr">
        <is>
          <t>4.2 Скорость отдачи напитков (3-5 мин) (0..5)</t>
        </is>
      </c>
      <c r="AB3" s="17" t="inlineStr">
        <is>
          <t>4.3 Сухая барная стойка и зачистка (0..5)</t>
        </is>
      </c>
      <c r="AC3" s="17" t="inlineStr">
        <is>
          <t>5.1 Атмосфера спикизи и секретный вход (0..4)</t>
        </is>
      </c>
      <c r="AD3" s="17" t="inlineStr">
        <is>
          <t>5.2 Эргономика барных стульев и крючки (0..3)</t>
        </is>
      </c>
      <c r="AE3" s="17" t="inlineStr">
        <is>
          <t>5.3 Свет свечной &lt;=2400K и звук &lt;=72 дБ (0..3)</t>
        </is>
      </c>
      <c r="AF3" s="17" t="inlineStr">
        <is>
          <t>6.1 Санитария ринзера, шейкеров и щипцов (0..5)</t>
        </is>
      </c>
      <c r="AG3" s="17" t="inlineStr">
        <is>
          <t>6.2 Стерильность санузла в ночной пик 01:00 (0..5)</t>
        </is>
      </c>
      <c r="AH3" s="17" t="inlineStr">
        <is>
          <t>ИТОГОВЫЙ БАЛЛ</t>
        </is>
      </c>
      <c r="AI3" s="17" t="inlineStr">
        <is>
          <t>ЗНАК КАЧЕСТВА / ГРЕЙД</t>
        </is>
      </c>
      <c r="AJ3" s="17" t="inlineStr">
        <is>
          <t>Индекс ценности</t>
        </is>
      </c>
      <c r="AK3" s="17" t="inlineStr">
        <is>
          <t>Фирменное блюдо</t>
        </is>
      </c>
      <c r="AL3" s="17" t="inlineStr">
        <is>
          <t>Отзыв на фирменное блюдо</t>
        </is>
      </c>
      <c r="AM3" s="17" t="inlineStr">
        <is>
          <t>Полная рецензия инспектора</t>
        </is>
      </c>
      <c r="AN3" s="17" t="inlineStr">
        <is>
          <t>Заметки аудитора (Private)</t>
        </is>
      </c>
      <c r="AO3" s="17" t="inlineStr">
        <is>
          <t>Урбанистика и среда</t>
        </is>
      </c>
      <c r="AP3" s="17" t="inlineStr">
        <is>
          <t>Эргономика и свет</t>
        </is>
      </c>
      <c r="AQ3" s="17" t="inlineStr">
        <is>
          <t>Плюсы заведения</t>
        </is>
      </c>
      <c r="AR3" s="17" t="inlineStr">
        <is>
          <t>Минусы заведения</t>
        </is>
      </c>
      <c r="AS3" s="17" t="inlineStr">
        <is>
          <t>Вайб-теги</t>
        </is>
      </c>
      <c r="AT3" s="17" t="inlineStr">
        <is>
          <t>Видеообложка (MP4)</t>
        </is>
      </c>
      <c r="AU3" s="17" t="inlineStr">
        <is>
          <t>Фотогалерея (JSON)</t>
        </is>
      </c>
      <c r="AV3" s="17" t="inlineStr">
        <is>
          <t>Широта (Lat)</t>
        </is>
      </c>
      <c r="AW3" s="17" t="inlineStr">
        <is>
          <t>Долгота (Lng)</t>
        </is>
      </c>
      <c r="AX3" s="17" t="inlineStr">
        <is>
          <t>Дата инспекции</t>
        </is>
      </c>
      <c r="AY3" s="17" t="inlineStr">
        <is>
          <t>Дата обновления</t>
        </is>
      </c>
    </row>
    <row r="4" ht="22" customHeight="1">
      <c r="A4" s="7" t="n">
        <v>2</v>
      </c>
      <c r="B4" s="7" t="inlineStr">
        <is>
          <t>published</t>
        </is>
      </c>
      <c r="C4" s="8" t="inlineStr">
        <is>
          <t>El Copitas Bar</t>
        </is>
      </c>
      <c r="D4" s="7" t="inlineStr">
        <is>
          <t>Коктейльные бары</t>
        </is>
      </c>
      <c r="E4" s="7" t="inlineStr">
        <is>
          <t>СПб</t>
        </is>
      </c>
      <c r="F4" s="8" t="inlineStr">
        <is>
          <t>Центральный</t>
        </is>
      </c>
      <c r="G4" s="8" t="inlineStr">
        <is>
          <t>ул. Колокольная, 2</t>
        </is>
      </c>
      <c r="H4" s="8" t="inlineStr">
        <is>
          <t>+7 (812) 941-71-68</t>
        </is>
      </c>
      <c r="I4" s="8" t="inlineStr">
        <is>
          <t>https://elcopitasbar.com</t>
        </is>
      </c>
      <c r="J4" s="8" t="inlineStr">
        <is>
          <t>Артем Перук &amp; Игорь Зернов</t>
        </is>
      </c>
      <c r="K4" s="8" t="inlineStr">
        <is>
          <t>Секретный бар мексиканской культуры, агавы и авторской миксологии</t>
        </is>
      </c>
      <c r="L4" s="7" t="n">
        <v>3200</v>
      </c>
      <c r="M4" s="7" t="inlineStr">
        <is>
          <t>₽₽₽</t>
        </is>
      </c>
      <c r="N4" s="7" t="inlineStr">
        <is>
          <t>Высокий ($$$)</t>
        </is>
      </c>
      <c r="O4" s="7" t="n">
        <v>10</v>
      </c>
      <c r="P4" s="7" t="n">
        <v>8</v>
      </c>
      <c r="Q4" s="7" t="n">
        <v>7</v>
      </c>
      <c r="R4" s="7" t="n">
        <v>5</v>
      </c>
      <c r="S4" s="7" t="n">
        <v>5</v>
      </c>
      <c r="T4" s="7" t="n">
        <v>6</v>
      </c>
      <c r="U4" s="7" t="n">
        <v>4</v>
      </c>
      <c r="V4" s="7" t="n">
        <v>5</v>
      </c>
      <c r="W4" s="7" t="n">
        <v>5</v>
      </c>
      <c r="X4" s="7" t="n">
        <v>4</v>
      </c>
      <c r="Y4" s="7" t="n">
        <v>5</v>
      </c>
      <c r="Z4" s="7" t="n">
        <v>5</v>
      </c>
      <c r="AA4" s="7" t="n">
        <v>5</v>
      </c>
      <c r="AB4" s="7" t="n">
        <v>5</v>
      </c>
      <c r="AC4" s="7" t="n">
        <v>4</v>
      </c>
      <c r="AD4" s="7" t="n">
        <v>3</v>
      </c>
      <c r="AE4" s="7" t="n">
        <v>3</v>
      </c>
      <c r="AF4" s="7" t="n">
        <v>5</v>
      </c>
      <c r="AG4" s="7" t="n">
        <v>5</v>
      </c>
      <c r="AH4" s="5">
        <f>SUM(O4:AG4)</f>
        <v/>
      </c>
      <c r="AI4" s="6">
        <f>IF(AH4&gt;=90, "Знак Качества", IF(AH4&gt;=75, "Рекомендовано", IF(AH4&gt;=60, "Базовый уровень", "Посредственно")))</f>
        <v/>
      </c>
      <c r="AJ4" s="7" t="n">
        <v>9.6</v>
      </c>
      <c r="AK4" s="8" t="inlineStr">
        <is>
          <t>Тако с томленой уткой и соусом моле</t>
        </is>
      </c>
      <c r="AL4" s="8" t="inlineStr">
        <is>
          <t>Субъективно — эталонный баланс пряности и кислотности, мягкая кукурузная тортилья ручной работы и насыщенная бархатистая текстура мяса.</t>
        </is>
      </c>
      <c r="AM4" s="8" t="inlineStr">
        <is>
          <t>По нашей оценке, один из самых атмосферных проектов страны. Безупречное гостеприимство, фирменный монолитный лед и глубокие авторские кордиалы создают уникальный барный опыт.</t>
        </is>
      </c>
      <c r="AN4" s="8" t="inlineStr"/>
      <c r="AO4" s="8" t="inlineStr">
        <is>
          <t>Скрытая локация в классическом петербургском дворе-колодце, создающая интригу приватного спикизи-пространства.</t>
        </is>
      </c>
      <c r="AP4" s="8" t="inlineStr">
        <is>
          <t>Уютная монолитная посадка вокруг общего стола, камерный теплый свет и акустический комфорт для живого общения.</t>
        </is>
      </c>
      <c r="AQ4" s="8" t="inlineStr">
        <is>
          <t>Выдающийся контакт и эрудиция барменов по напиткам на основе агавы, Идеально прозрачный монолитный лед собственной заготовки, Бесплатная подача питьевой воды и авторского комплимента гостю</t>
        </is>
      </c>
      <c r="AR4" s="8" t="inlineStr">
        <is>
          <t>Камерный формат требует заблаговременного планирования визита через предварительную запись</t>
        </is>
      </c>
      <c r="AS4" s="8" t="inlineStr">
        <is>
          <t>Авторские коктейли, Атмосфера спикизи, Гастрономический бар, Дружеская встреча</t>
        </is>
      </c>
      <c r="AT4" s="8" t="inlineStr">
        <is>
          <t>https://storage.googleapis.com/gtv-videos-bucket/sample/ForBiggerJoyrides.mp4</t>
        </is>
      </c>
      <c r="AU4" s="8" t="inlineStr">
        <is>
          <t>["https://images.unsplash.com/photo-1514362545857-3bc16c4c7d1b?auto=format&amp;fit=crop&amp;w=1200&amp;q=80", "https://images.unsplash.com/photo-1551024709-8f23befc6f87?auto=format&amp;fit=crop&amp;w=1200&amp;q=80", "https://images.unsplash.com/photo-1563245372-f21724e3856d?auto=format&amp;fit=crop&amp;w=1200&amp;q=80"]</t>
        </is>
      </c>
      <c r="AV4" s="7" t="n">
        <v>59.9298</v>
      </c>
      <c r="AW4" s="7" t="n">
        <v>30.3475</v>
      </c>
      <c r="AX4" s="7" t="inlineStr">
        <is>
          <t>2026-08-14</t>
        </is>
      </c>
      <c r="AY4" s="7" t="inlineStr">
        <is>
          <t>2026-08-26</t>
        </is>
      </c>
    </row>
  </sheetData>
  <mergeCells count="10">
    <mergeCell ref="T2:V2"/>
    <mergeCell ref="Z2:AB2"/>
    <mergeCell ref="O2:S2"/>
    <mergeCell ref="AC2:AE2"/>
    <mergeCell ref="A1:AY1"/>
    <mergeCell ref="A2:N2"/>
    <mergeCell ref="AK2:AY2"/>
    <mergeCell ref="AF2:AG2"/>
    <mergeCell ref="AH2:AJ2"/>
    <mergeCell ref="W2:Y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0" customWidth="1" min="4" max="4"/>
    <col width="14" customWidth="1" min="5" max="5"/>
    <col width="18" customWidth="1" min="6" max="6"/>
    <col width="28" customWidth="1" min="7" max="7"/>
    <col width="18" customWidth="1" min="8" max="8"/>
    <col width="22" customWidth="1" min="9" max="9"/>
    <col width="20" customWidth="1" min="10" max="10"/>
    <col width="28" customWidth="1" min="11" max="11"/>
    <col width="16" customWidth="1" min="12" max="12"/>
    <col width="15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8" customWidth="1" min="34" max="34"/>
    <col width="22" customWidth="1" min="35" max="35"/>
    <col width="16" customWidth="1" min="36" max="36"/>
    <col width="26" customWidth="1" min="37" max="37"/>
    <col width="32" customWidth="1" min="38" max="38"/>
    <col width="36" customWidth="1" min="39" max="39"/>
    <col width="30" customWidth="1" min="40" max="40"/>
    <col width="30" customWidth="1" min="41" max="41"/>
    <col width="30" customWidth="1" min="42" max="42"/>
    <col width="26" customWidth="1" min="43" max="43"/>
    <col width="26" customWidth="1" min="44" max="44"/>
    <col width="22" customWidth="1" min="45" max="45"/>
    <col width="26" customWidth="1" min="46" max="46"/>
    <col width="30" customWidth="1" min="47" max="47"/>
    <col width="14" customWidth="1" min="48" max="48"/>
    <col width="14" customWidth="1" min="49" max="49"/>
    <col width="15" customWidth="1" min="50" max="50"/>
    <col width="16" customWidth="1" min="51" max="51"/>
  </cols>
  <sheetData>
    <row r="1" ht="36" customHeight="1">
      <c r="A1" s="1" t="inlineStr">
        <is>
          <t>PLANKA GUIDE • СПЕЦИАЛИЗИРОВАННЫЙ КАЛЬКУЛЯТОР: РЕМЕСЛЕННЫЕ ПЕКАРНИ (100 БАЛЛОВ)</t>
        </is>
      </c>
    </row>
    <row r="2" ht="26" customHeight="1">
      <c r="A2" s="9" t="inlineStr">
        <is>
          <t>ПАСПОРТ ЗАВЕДЕНИЯ</t>
        </is>
      </c>
      <c r="O2" s="10" t="inlineStr">
        <is>
          <t>БЛОК 1: СЫРЬЕ И ОСНОВА (35 б.)</t>
        </is>
      </c>
      <c r="T2" s="11" t="inlineStr">
        <is>
          <t>БЛОК 2: WOW &amp; ПОДАЧА (15 б.)</t>
        </is>
      </c>
      <c r="W2" s="12" t="inlineStr">
        <is>
          <t>БЛОК 3: ЧЕСТНОСТЬ ЦЕНЫ (15 б.)</t>
        </is>
      </c>
      <c r="Z2" s="13" t="inlineStr">
        <is>
          <t>БЛОК 4: СЕРВИС &amp; ТАЙМИНГ (15 б.)</t>
        </is>
      </c>
      <c r="AC2" s="14" t="inlineStr">
        <is>
          <t>БЛОК 5: СРЕДА &amp; АКУСТИКА (10 б.)</t>
        </is>
      </c>
      <c r="AF2" s="15" t="inlineStr">
        <is>
          <t>БЛОК 6: САНИТАРИЯ (10 б.)</t>
        </is>
      </c>
      <c r="AH2" s="16" t="inlineStr">
        <is>
          <t>ИТОГИ &amp; ГРЕЙД</t>
        </is>
      </c>
      <c r="AK2" s="9" t="inlineStr">
        <is>
          <t>ДОСЬЕ, РЕЦЕНЗИЯ, МЕДИА &amp; КООРДИНАТЫ</t>
        </is>
      </c>
    </row>
    <row r="3" ht="32" customHeight="1">
      <c r="A3" s="17" t="inlineStr">
        <is>
          <t>ID</t>
        </is>
      </c>
      <c r="B3" s="17" t="inlineStr">
        <is>
          <t>Статус</t>
        </is>
      </c>
      <c r="C3" s="17" t="inlineStr">
        <is>
          <t>Название заведения</t>
        </is>
      </c>
      <c r="D3" s="17" t="inlineStr">
        <is>
          <t>Формат</t>
        </is>
      </c>
      <c r="E3" s="17" t="inlineStr">
        <is>
          <t>Город</t>
        </is>
      </c>
      <c r="F3" s="17" t="inlineStr">
        <is>
          <t>Район</t>
        </is>
      </c>
      <c r="G3" s="17" t="inlineStr">
        <is>
          <t>Адрес</t>
        </is>
      </c>
      <c r="H3" s="17" t="inlineStr">
        <is>
          <t>Телефон</t>
        </is>
      </c>
      <c r="I3" s="17" t="inlineStr">
        <is>
          <t>Бронь (URL)</t>
        </is>
      </c>
      <c r="J3" s="17" t="inlineStr">
        <is>
          <t>Шеф / Команда</t>
        </is>
      </c>
      <c r="K3" s="17" t="inlineStr">
        <is>
          <t>Концепция</t>
        </is>
      </c>
      <c r="L3" s="17" t="inlineStr">
        <is>
          <t>Средний чек (₽)</t>
        </is>
      </c>
      <c r="M3" s="17" t="inlineStr">
        <is>
          <t>Ценовой сегмент</t>
        </is>
      </c>
      <c r="N3" s="17" t="inlineStr">
        <is>
          <t>Категория цен</t>
        </is>
      </c>
      <c r="O3" s="17" t="inlineStr">
        <is>
          <t>1.1 Мука T65/Tipo 00 и закваска Levain (0..10)</t>
        </is>
      </c>
      <c r="P3" s="17" t="inlineStr">
        <is>
          <t>1.2 100% сливочное масло 82.5% (без маргарина) (0..8)</t>
        </is>
      </c>
      <c r="Q3" s="17" t="inlineStr">
        <is>
          <t>1.3 Ячеистая структура сот Honeycomb (0..7)</t>
        </is>
      </c>
      <c r="R3" s="17" t="inlineStr">
        <is>
          <t>1.4 Карамелизация корки и свежесть выпека (0..5)</t>
        </is>
      </c>
      <c r="S3" s="17" t="inlineStr">
        <is>
          <t>1.5 Спешелти-кофейные напитки и чай (0..5)</t>
        </is>
      </c>
      <c r="T3" s="17" t="inlineStr">
        <is>
          <t>2.1 Signature Bread / Фирменный тартин (0..6)</t>
        </is>
      </c>
      <c r="U3" s="17" t="inlineStr">
        <is>
          <t>2.2 Эстетика витрины и крафт-пакеты (0..4)</t>
        </is>
      </c>
      <c r="V3" s="17" t="inlineStr">
        <is>
          <t>2.3 Дегустация хлеба (Bread Tasting) (0..5)</t>
        </is>
      </c>
      <c r="W3" s="17" t="inlineStr">
        <is>
          <t>3.1 Обоснованность цен на слойку и хлеб (0..5)</t>
        </is>
      </c>
      <c r="X3" s="17" t="inlineStr">
        <is>
          <t>3.2 Честный вес буханки (норма +-5%) (0..5)</t>
        </is>
      </c>
      <c r="Y3" s="17" t="inlineStr">
        <is>
          <t>3.3 Прозрачность ценников и бесплатная нарезка (0..5)</t>
        </is>
      </c>
      <c r="Z3" s="17" t="inlineStr">
        <is>
          <t>4.1 Экспертиза продавца и знание заквасок (0..5)</t>
        </is>
      </c>
      <c r="AA3" s="17" t="inlineStr">
        <is>
          <t>4.2 Скорость обслуживания кассы (&lt;=60 сек) (0..5)</t>
        </is>
      </c>
      <c r="AB3" s="17" t="inlineStr">
        <is>
          <t>4.3 Чистота торговой зоны и уборка крошек (0..5)</t>
        </is>
      </c>
      <c r="AC3" s="17" t="inlineStr">
        <is>
          <t>5.1 Витринные окна и утренний аромат хлеба (0..4)</t>
        </is>
      </c>
      <c r="AD3" s="17" t="inlineStr">
        <is>
          <t>5.2 Эргономика столиков для завтрака (0..3)</t>
        </is>
      </c>
      <c r="AE3" s="17" t="inlineStr">
        <is>
          <t>5.3 Вентиляция без чада печей и свет 3000K (0..3)</t>
        </is>
      </c>
      <c r="AF3" s="17" t="inlineStr">
        <is>
          <t>6.1 Стерильность щипцов, слайсеров и стекол (0..5)</t>
        </is>
      </c>
      <c r="AG3" s="17" t="inlineStr">
        <is>
          <t>6.2 Стерильность санузла пекарни (0..5)</t>
        </is>
      </c>
      <c r="AH3" s="17" t="inlineStr">
        <is>
          <t>ИТОГОВЫЙ БАЛЛ</t>
        </is>
      </c>
      <c r="AI3" s="17" t="inlineStr">
        <is>
          <t>ЗНАК КАЧЕСТВА / ГРЕЙД</t>
        </is>
      </c>
      <c r="AJ3" s="17" t="inlineStr">
        <is>
          <t>Индекс ценности</t>
        </is>
      </c>
      <c r="AK3" s="17" t="inlineStr">
        <is>
          <t>Фирменное блюдо</t>
        </is>
      </c>
      <c r="AL3" s="17" t="inlineStr">
        <is>
          <t>Отзыв на фирменное блюдо</t>
        </is>
      </c>
      <c r="AM3" s="17" t="inlineStr">
        <is>
          <t>Полная рецензия инспектора</t>
        </is>
      </c>
      <c r="AN3" s="17" t="inlineStr">
        <is>
          <t>Заметки аудитора (Private)</t>
        </is>
      </c>
      <c r="AO3" s="17" t="inlineStr">
        <is>
          <t>Урбанистика и среда</t>
        </is>
      </c>
      <c r="AP3" s="17" t="inlineStr">
        <is>
          <t>Эргономика и свет</t>
        </is>
      </c>
      <c r="AQ3" s="17" t="inlineStr">
        <is>
          <t>Плюсы заведения</t>
        </is>
      </c>
      <c r="AR3" s="17" t="inlineStr">
        <is>
          <t>Минусы заведения</t>
        </is>
      </c>
      <c r="AS3" s="17" t="inlineStr">
        <is>
          <t>Вайб-теги</t>
        </is>
      </c>
      <c r="AT3" s="17" t="inlineStr">
        <is>
          <t>Видеообложка (MP4)</t>
        </is>
      </c>
      <c r="AU3" s="17" t="inlineStr">
        <is>
          <t>Фотогалерея (JSON)</t>
        </is>
      </c>
      <c r="AV3" s="17" t="inlineStr">
        <is>
          <t>Широта (Lat)</t>
        </is>
      </c>
      <c r="AW3" s="17" t="inlineStr">
        <is>
          <t>Долгота (Lng)</t>
        </is>
      </c>
      <c r="AX3" s="17" t="inlineStr">
        <is>
          <t>Дата инспекции</t>
        </is>
      </c>
      <c r="AY3" s="17" t="inlineStr">
        <is>
          <t>Дата обновления</t>
        </is>
      </c>
    </row>
    <row r="4" ht="22" customHeight="1">
      <c r="A4" s="7" t="n">
        <v>8</v>
      </c>
      <c r="B4" s="7" t="inlineStr">
        <is>
          <t>published</t>
        </is>
      </c>
      <c r="C4" s="8" t="inlineStr">
        <is>
          <t>Буше Пекарня</t>
        </is>
      </c>
      <c r="D4" s="7" t="inlineStr">
        <is>
          <t>Ремесленные пекарни</t>
        </is>
      </c>
      <c r="E4" s="7" t="inlineStr">
        <is>
          <t>СПб</t>
        </is>
      </c>
      <c r="F4" s="8" t="inlineStr">
        <is>
          <t>Петроградский</t>
        </is>
      </c>
      <c r="G4" s="8" t="inlineStr">
        <is>
          <t>ул. Льва Толстого, 1-3</t>
        </is>
      </c>
      <c r="H4" s="8" t="inlineStr">
        <is>
          <t>+7 (812) 640-77-37</t>
        </is>
      </c>
      <c r="I4" s="8" t="inlineStr">
        <is>
          <t>https://bushe.ru</t>
        </is>
      </c>
      <c r="J4" s="8" t="inlineStr">
        <is>
          <t>Роман Певзнер &amp; Команда Буше</t>
        </is>
      </c>
      <c r="K4" s="8" t="inlineStr">
        <is>
          <t>Петербургская ремесленная пекарня, хлеб на закваске и городское кафе</t>
        </is>
      </c>
      <c r="L4" s="7" t="n">
        <v>850</v>
      </c>
      <c r="M4" s="7" t="inlineStr">
        <is>
          <t>₽</t>
        </is>
      </c>
      <c r="N4" s="7" t="inlineStr">
        <is>
          <t>Бюджет ($)</t>
        </is>
      </c>
      <c r="O4" s="7" t="n">
        <v>9</v>
      </c>
      <c r="P4" s="7" t="n">
        <v>8</v>
      </c>
      <c r="Q4" s="7" t="n">
        <v>6</v>
      </c>
      <c r="R4" s="7" t="n">
        <v>5</v>
      </c>
      <c r="S4" s="7" t="n">
        <v>4</v>
      </c>
      <c r="T4" s="7" t="n">
        <v>5</v>
      </c>
      <c r="U4" s="7" t="n">
        <v>4</v>
      </c>
      <c r="V4" s="7" t="n">
        <v>4</v>
      </c>
      <c r="W4" s="7" t="n">
        <v>4</v>
      </c>
      <c r="X4" s="7" t="n">
        <v>4</v>
      </c>
      <c r="Y4" s="7" t="n">
        <v>5</v>
      </c>
      <c r="Z4" s="7" t="n">
        <v>5</v>
      </c>
      <c r="AA4" s="7" t="n">
        <v>4</v>
      </c>
      <c r="AB4" s="7" t="n">
        <v>4</v>
      </c>
      <c r="AC4" s="7" t="n">
        <v>4</v>
      </c>
      <c r="AD4" s="7" t="n">
        <v>3</v>
      </c>
      <c r="AE4" s="7" t="n">
        <v>3</v>
      </c>
      <c r="AF4" s="7" t="n">
        <v>5</v>
      </c>
      <c r="AG4" s="7" t="n">
        <v>4</v>
      </c>
      <c r="AH4" s="5">
        <f>SUM(O4:AG4)</f>
        <v/>
      </c>
      <c r="AI4" s="6">
        <f>IF(AH4&gt;=90, "Знак Качества", IF(AH4&gt;=75, "Рекомендовано", IF(AH4&gt;=60, "Базовый уровень", "Посредственно")))</f>
        <v/>
      </c>
      <c r="AJ4" s="7" t="n">
        <v>8.9</v>
      </c>
      <c r="AK4" s="8" t="inlineStr">
        <is>
          <t>Слоеный круассан с миндальным кремом</t>
        </is>
      </c>
      <c r="AL4" s="8" t="inlineStr">
        <is>
          <t>По оценке тайного гостя — выразительный хруст сотен слоев теста на сливочном масле 82.5% и щедрая начинка из натурального марципана.</t>
        </is>
      </c>
      <c r="AM4" s="8" t="inlineStr">
        <is>
          <t>По нашему впечатлению, один из главных символов современной пекарской культуры Санкт-Петербурга с честной граммовкой и уютным пространством.</t>
        </is>
      </c>
      <c r="AN4" s="8" t="inlineStr"/>
      <c r="AO4" s="8" t="inlineStr">
        <is>
          <t>Широкие витринные окна с видом на Петроградскую сторону и удобный доступ от метро.</t>
        </is>
      </c>
      <c r="AP4" s="8" t="inlineStr">
        <is>
          <t>Деревянные столики для быстрого перекуса, приятный аромат свежего хлеба и ненавязчивый инди-плейлист.</t>
        </is>
      </c>
      <c r="AQ4" s="8" t="inlineStr">
        <is>
          <t>Высокое качество сливочного масла и заквасок в выпечке, Доступный средний чек при честном весе изделий, Стерильность витрин и щипцов для выпечки</t>
        </is>
      </c>
      <c r="AR4" s="8" t="inlineStr">
        <is>
          <t>В утренние часы пик возможны очереди на линии кассового обслуживания</t>
        </is>
      </c>
      <c r="AS4" s="8" t="inlineStr">
        <is>
          <t>Свежая выпечка, Завтрак, Кофе с собой, Петербург</t>
        </is>
      </c>
      <c r="AT4" s="8" t="inlineStr">
        <is>
          <t>https://storage.googleapis.com/gtv-videos-bucket/sample/WeAreGoingOnBullrun.mp4</t>
        </is>
      </c>
      <c r="AU4" s="8" t="inlineStr">
        <is>
          <t>["https://images.unsplash.com/photo-1509440159596-0249088772ff?auto=format&amp;fit=crop&amp;w=1200&amp;q=80", "https://images.unsplash.com/photo-1555507036-ab1f4038808a?auto=format&amp;fit=crop&amp;w=1200&amp;q=80", "https://images.unsplash.com/photo-1517433670267-08bbd4be890f?auto=format&amp;fit=crop&amp;w=1200&amp;q=80"]</t>
        </is>
      </c>
      <c r="AV4" s="7" t="n">
        <v>59.9662</v>
      </c>
      <c r="AW4" s="7" t="n">
        <v>30.3115</v>
      </c>
      <c r="AX4" s="7" t="inlineStr">
        <is>
          <t>2026-08-12</t>
        </is>
      </c>
      <c r="AY4" s="7" t="inlineStr">
        <is>
          <t>2026-08-26</t>
        </is>
      </c>
    </row>
  </sheetData>
  <mergeCells count="10">
    <mergeCell ref="T2:V2"/>
    <mergeCell ref="Z2:AB2"/>
    <mergeCell ref="O2:S2"/>
    <mergeCell ref="AC2:AE2"/>
    <mergeCell ref="A1:AY1"/>
    <mergeCell ref="A2:N2"/>
    <mergeCell ref="AK2:AY2"/>
    <mergeCell ref="AF2:AG2"/>
    <mergeCell ref="AH2:AJ2"/>
    <mergeCell ref="W2:Y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0" customWidth="1" min="4" max="4"/>
    <col width="14" customWidth="1" min="5" max="5"/>
    <col width="18" customWidth="1" min="6" max="6"/>
    <col width="28" customWidth="1" min="7" max="7"/>
    <col width="18" customWidth="1" min="8" max="8"/>
    <col width="22" customWidth="1" min="9" max="9"/>
    <col width="20" customWidth="1" min="10" max="10"/>
    <col width="28" customWidth="1" min="11" max="11"/>
    <col width="16" customWidth="1" min="12" max="12"/>
    <col width="15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8" customWidth="1" min="34" max="34"/>
    <col width="22" customWidth="1" min="35" max="35"/>
    <col width="16" customWidth="1" min="36" max="36"/>
    <col width="26" customWidth="1" min="37" max="37"/>
    <col width="32" customWidth="1" min="38" max="38"/>
    <col width="36" customWidth="1" min="39" max="39"/>
    <col width="30" customWidth="1" min="40" max="40"/>
    <col width="30" customWidth="1" min="41" max="41"/>
    <col width="30" customWidth="1" min="42" max="42"/>
    <col width="26" customWidth="1" min="43" max="43"/>
    <col width="26" customWidth="1" min="44" max="44"/>
    <col width="22" customWidth="1" min="45" max="45"/>
    <col width="26" customWidth="1" min="46" max="46"/>
    <col width="30" customWidth="1" min="47" max="47"/>
    <col width="14" customWidth="1" min="48" max="48"/>
    <col width="14" customWidth="1" min="49" max="49"/>
    <col width="15" customWidth="1" min="50" max="50"/>
    <col width="16" customWidth="1" min="51" max="51"/>
  </cols>
  <sheetData>
    <row r="1" ht="36" customHeight="1">
      <c r="A1" s="1" t="inlineStr">
        <is>
          <t>PLANKA GUIDE • СПЕЦИАЛИЗИРОВАННЫЙ КАЛЬКУЛЯТОР: СТОЛОВЫЕ И FAST CASUAL (100 БАЛЛОВ)</t>
        </is>
      </c>
    </row>
    <row r="2" ht="26" customHeight="1">
      <c r="A2" s="9" t="inlineStr">
        <is>
          <t>ПАСПОРТ ЗАВЕДЕНИЯ</t>
        </is>
      </c>
      <c r="O2" s="10" t="inlineStr">
        <is>
          <t>БЛОК 1: СЫРЬЕ И ОСНОВА (35 б.)</t>
        </is>
      </c>
      <c r="T2" s="11" t="inlineStr">
        <is>
          <t>БЛОК 2: WOW &amp; ПОДАЧА (15 б.)</t>
        </is>
      </c>
      <c r="W2" s="12" t="inlineStr">
        <is>
          <t>БЛОК 3: ЧЕСТНОСТЬ ЦЕНЫ (15 б.)</t>
        </is>
      </c>
      <c r="Z2" s="13" t="inlineStr">
        <is>
          <t>БЛОК 4: СЕРВИС &amp; ТАЙМИНГ (15 б.)</t>
        </is>
      </c>
      <c r="AC2" s="14" t="inlineStr">
        <is>
          <t>БЛОК 5: СРЕДА &amp; АКУСТИКА (10 б.)</t>
        </is>
      </c>
      <c r="AF2" s="15" t="inlineStr">
        <is>
          <t>БЛОК 6: САНИТАРИЯ (10 б.)</t>
        </is>
      </c>
      <c r="AH2" s="16" t="inlineStr">
        <is>
          <t>ИТОГИ &amp; ГРЕЙД</t>
        </is>
      </c>
      <c r="AK2" s="9" t="inlineStr">
        <is>
          <t>ДОСЬЕ, РЕЦЕНЗИЯ, МЕДИА &amp; КООРДИНАТЫ</t>
        </is>
      </c>
    </row>
    <row r="3" ht="32" customHeight="1">
      <c r="A3" s="17" t="inlineStr">
        <is>
          <t>ID</t>
        </is>
      </c>
      <c r="B3" s="17" t="inlineStr">
        <is>
          <t>Статус</t>
        </is>
      </c>
      <c r="C3" s="17" t="inlineStr">
        <is>
          <t>Название заведения</t>
        </is>
      </c>
      <c r="D3" s="17" t="inlineStr">
        <is>
          <t>Формат</t>
        </is>
      </c>
      <c r="E3" s="17" t="inlineStr">
        <is>
          <t>Город</t>
        </is>
      </c>
      <c r="F3" s="17" t="inlineStr">
        <is>
          <t>Район</t>
        </is>
      </c>
      <c r="G3" s="17" t="inlineStr">
        <is>
          <t>Адрес</t>
        </is>
      </c>
      <c r="H3" s="17" t="inlineStr">
        <is>
          <t>Телефон</t>
        </is>
      </c>
      <c r="I3" s="17" t="inlineStr">
        <is>
          <t>Бронь (URL)</t>
        </is>
      </c>
      <c r="J3" s="17" t="inlineStr">
        <is>
          <t>Шеф / Команда</t>
        </is>
      </c>
      <c r="K3" s="17" t="inlineStr">
        <is>
          <t>Концепция</t>
        </is>
      </c>
      <c r="L3" s="17" t="inlineStr">
        <is>
          <t>Средний чек (₽)</t>
        </is>
      </c>
      <c r="M3" s="17" t="inlineStr">
        <is>
          <t>Ценовой сегмент</t>
        </is>
      </c>
      <c r="N3" s="17" t="inlineStr">
        <is>
          <t>Категория цен</t>
        </is>
      </c>
      <c r="O3" s="17" t="inlineStr">
        <is>
          <t>1.1 Свежесть блюд на раздаче и мяса (0..10)</t>
        </is>
      </c>
      <c r="P3" s="17" t="inlineStr">
        <is>
          <t>1.2 Мармиты: супы &gt;=75C, горячее &gt;=65C, салат &lt;8C (0..8)</t>
        </is>
      </c>
      <c r="Q3" s="17" t="inlineStr">
        <is>
          <t>1.3 Натуральные костные бульоны без E621 (0..7)</t>
        </is>
      </c>
      <c r="R3" s="17" t="inlineStr">
        <is>
          <t>1.4 Скорость ротации лотков (&lt;40 мин) (0..5)</t>
        </is>
      </c>
      <c r="S3" s="17" t="inlineStr">
        <is>
          <t>1.5 Домашние ягодные морсы и вода (0..5)</t>
        </is>
      </c>
      <c r="T3" s="17" t="inlineStr">
        <is>
          <t>2.1 Signature Dish столовой (борщ/котлета) (0..6)</t>
        </is>
      </c>
      <c r="U3" s="17" t="inlineStr">
        <is>
          <t>2.2 Аккуратность выкладки и Zero Drops (0..4)</t>
        </is>
      </c>
      <c r="V3" s="17" t="inlineStr">
        <is>
          <t>2.3 Домашние пирожки и свежий хлеб (0..5)</t>
        </is>
      </c>
      <c r="W3" s="17" t="inlineStr">
        <is>
          <t>3.1 Доступность комплексного обеда (350-600 ₽) (0..5)</t>
        </is>
      </c>
      <c r="X3" s="17" t="inlineStr">
        <is>
          <t>3.2 Честный выход порции (белок &gt;=110 г) (0..5)</t>
        </is>
      </c>
      <c r="Y3" s="17" t="inlineStr">
        <is>
          <t>3.3 Прозрачность ценников напротив лотков (0..5)</t>
        </is>
      </c>
      <c r="Z3" s="17" t="inlineStr">
        <is>
          <t>4.1 Доброжелательность персонала раздачи (0..5)</t>
        </is>
      </c>
      <c r="AA3" s="17" t="inlineStr">
        <is>
          <t>4.2 Скорость линии раздачи (&lt;=90-120 сек) (0..5)</t>
        </is>
      </c>
      <c r="AB3" s="17" t="inlineStr">
        <is>
          <t>4.3 Быстрая протирка столов за 45 сек (0..5)</t>
        </is>
      </c>
      <c r="AC3" s="17" t="inlineStr">
        <is>
          <t>5.1 Логичная навигация потоков подносов (0..4)</t>
        </is>
      </c>
      <c r="AD3" s="17" t="inlineStr">
        <is>
          <t>5.2 Широкие проходы для подносов (&gt;=100 см) (0..3)</t>
        </is>
      </c>
      <c r="AE3" s="17" t="inlineStr">
        <is>
          <t>5.3 Мощная вытяжка (одежда не пахнет кухней) (0..3)</t>
        </is>
      </c>
      <c r="AF3" s="17" t="inlineStr">
        <is>
          <t>6.1 Сухие нелипкие подносы и упакованные приборы (0..5)</t>
        </is>
      </c>
      <c r="AG3" s="17" t="inlineStr">
        <is>
          <t>6.2 Стерильность санузла в обеденный пик 13:00 (0..5)</t>
        </is>
      </c>
      <c r="AH3" s="17" t="inlineStr">
        <is>
          <t>ИТОГОВЫЙ БАЛЛ</t>
        </is>
      </c>
      <c r="AI3" s="17" t="inlineStr">
        <is>
          <t>ЗНАК КАЧЕСТВА / ГРЕЙД</t>
        </is>
      </c>
      <c r="AJ3" s="17" t="inlineStr">
        <is>
          <t>Индекс ценности</t>
        </is>
      </c>
      <c r="AK3" s="17" t="inlineStr">
        <is>
          <t>Фирменное блюдо</t>
        </is>
      </c>
      <c r="AL3" s="17" t="inlineStr">
        <is>
          <t>Отзыв на фирменное блюдо</t>
        </is>
      </c>
      <c r="AM3" s="17" t="inlineStr">
        <is>
          <t>Полная рецензия инспектора</t>
        </is>
      </c>
      <c r="AN3" s="17" t="inlineStr">
        <is>
          <t>Заметки аудитора (Private)</t>
        </is>
      </c>
      <c r="AO3" s="17" t="inlineStr">
        <is>
          <t>Урбанистика и среда</t>
        </is>
      </c>
      <c r="AP3" s="17" t="inlineStr">
        <is>
          <t>Эргономика и свет</t>
        </is>
      </c>
      <c r="AQ3" s="17" t="inlineStr">
        <is>
          <t>Плюсы заведения</t>
        </is>
      </c>
      <c r="AR3" s="17" t="inlineStr">
        <is>
          <t>Минусы заведения</t>
        </is>
      </c>
      <c r="AS3" s="17" t="inlineStr">
        <is>
          <t>Вайб-теги</t>
        </is>
      </c>
      <c r="AT3" s="17" t="inlineStr">
        <is>
          <t>Видеообложка (MP4)</t>
        </is>
      </c>
      <c r="AU3" s="17" t="inlineStr">
        <is>
          <t>Фотогалерея (JSON)</t>
        </is>
      </c>
      <c r="AV3" s="17" t="inlineStr">
        <is>
          <t>Широта (Lat)</t>
        </is>
      </c>
      <c r="AW3" s="17" t="inlineStr">
        <is>
          <t>Долгота (Lng)</t>
        </is>
      </c>
      <c r="AX3" s="17" t="inlineStr">
        <is>
          <t>Дата инспекции</t>
        </is>
      </c>
      <c r="AY3" s="17" t="inlineStr">
        <is>
          <t>Дата обновления</t>
        </is>
      </c>
    </row>
    <row r="4" ht="22" customHeight="1">
      <c r="A4" s="7" t="n">
        <v>101</v>
      </c>
      <c r="B4" s="7" t="inlineStr">
        <is>
          <t>published</t>
        </is>
      </c>
      <c r="C4" s="8" t="inlineStr">
        <is>
          <t>Столовая №1 Urban Canteen</t>
        </is>
      </c>
      <c r="D4" s="7" t="inlineStr">
        <is>
          <t>Fast Casual &amp; Столовые</t>
        </is>
      </c>
      <c r="E4" s="7" t="inlineStr">
        <is>
          <t>Москва</t>
        </is>
      </c>
      <c r="F4" s="8" t="inlineStr">
        <is>
          <t>Пресненский</t>
        </is>
      </c>
      <c r="G4" s="8" t="inlineStr">
        <is>
          <t>ул. 1905 Года, 10</t>
        </is>
      </c>
      <c r="H4" s="8" t="inlineStr">
        <is>
          <t>+7 (495) 333-44-55</t>
        </is>
      </c>
      <c r="I4" s="8" t="inlineStr"/>
      <c r="J4" s="8" t="inlineStr">
        <is>
          <t>Бригада кухни</t>
        </is>
      </c>
      <c r="K4" s="8" t="inlineStr">
        <is>
          <t>Честная городская столовая с открытой раздачей</t>
        </is>
      </c>
      <c r="L4" s="7" t="n">
        <v>450</v>
      </c>
      <c r="M4" s="7" t="inlineStr">
        <is>
          <t>₽</t>
        </is>
      </c>
      <c r="N4" s="7" t="inlineStr">
        <is>
          <t>Бюджетный ($)</t>
        </is>
      </c>
      <c r="O4" s="7" t="n">
        <v>9</v>
      </c>
      <c r="P4" s="7" t="n">
        <v>8</v>
      </c>
      <c r="Q4" s="7" t="n">
        <v>7</v>
      </c>
      <c r="R4" s="7" t="n">
        <v>5</v>
      </c>
      <c r="S4" s="7" t="n">
        <v>4</v>
      </c>
      <c r="T4" s="7" t="n">
        <v>5</v>
      </c>
      <c r="U4" s="7" t="n">
        <v>4</v>
      </c>
      <c r="V4" s="7" t="n">
        <v>4</v>
      </c>
      <c r="W4" s="7" t="n">
        <v>5</v>
      </c>
      <c r="X4" s="7" t="n">
        <v>5</v>
      </c>
      <c r="Y4" s="7" t="n">
        <v>5</v>
      </c>
      <c r="Z4" s="7" t="n">
        <v>5</v>
      </c>
      <c r="AA4" s="7" t="n">
        <v>5</v>
      </c>
      <c r="AB4" s="7" t="n">
        <v>4</v>
      </c>
      <c r="AC4" s="7" t="n">
        <v>4</v>
      </c>
      <c r="AD4" s="7" t="n">
        <v>3</v>
      </c>
      <c r="AE4" s="7" t="n">
        <v>3</v>
      </c>
      <c r="AF4" s="7" t="n">
        <v>5</v>
      </c>
      <c r="AG4" s="7" t="n">
        <v>4</v>
      </c>
      <c r="AH4" s="5">
        <f>SUM(O4:AG4)</f>
        <v/>
      </c>
      <c r="AI4" s="6">
        <f>IF(AH4&gt;=90, "Знак Качества", IF(AH4&gt;=75, "Рекомендовано", IF(AH4&gt;=60, "Базовый уровень", "Посредственно")))</f>
        <v/>
      </c>
      <c r="AJ4" s="7" t="n">
        <v>9.4</v>
      </c>
      <c r="AK4" s="8" t="inlineStr">
        <is>
          <t>Наваристый борщ с говядиной и чесночной пампушкой</t>
        </is>
      </c>
      <c r="AL4" s="8" t="inlineStr">
        <is>
          <t>Густой ароматный борщ с щедрым куском мяса, горячая подача 78°C.</t>
        </is>
      </c>
      <c r="AM4" s="8" t="inlineStr">
        <is>
          <t>Образцовая современная столовая с чистыми сухими подносами и быстрым прохождением раздачи за 75 секунд.</t>
        </is>
      </c>
      <c r="AN4" s="8" t="inlineStr">
        <is>
          <t>Контроль температуры супов пройден на отлично.</t>
        </is>
      </c>
      <c r="AO4" s="8" t="inlineStr">
        <is>
          <t>Удобный широкий вход без очередей на тротуаре.</t>
        </is>
      </c>
      <c r="AP4" s="8" t="inlineStr">
        <is>
          <t>Просторные проходы 110 см между столами.</t>
        </is>
      </c>
      <c r="AQ4" s="8" t="inlineStr">
        <is>
          <t>Горячие супы 78°C, Сухие подносы, Быстрая касса</t>
        </is>
      </c>
      <c r="AR4" s="8" t="inlineStr">
        <is>
          <t>Плотная посадка в 13:15</t>
        </is>
      </c>
      <c r="AS4" s="8" t="inlineStr">
        <is>
          <t>Сытно, Быстро, Доступно</t>
        </is>
      </c>
      <c r="AT4" s="8" t="inlineStr">
        <is>
          <t>https://storage.googleapis.com/gtv-videos-bucket/sample/ForBiggerBlazes.mp4</t>
        </is>
      </c>
      <c r="AU4" s="8" t="inlineStr">
        <is>
          <t>["https://images.unsplash.com/photo-1544025162-d76694265947?auto=format&amp;fit=crop&amp;w=1200&amp;q=80"]</t>
        </is>
      </c>
      <c r="AV4" s="7" t="n">
        <v>55.758</v>
      </c>
      <c r="AW4" s="7" t="n">
        <v>37.562</v>
      </c>
      <c r="AX4" s="7" t="inlineStr">
        <is>
          <t>2026-08-25</t>
        </is>
      </c>
      <c r="AY4" s="7" t="inlineStr">
        <is>
          <t>2026-08-26</t>
        </is>
      </c>
    </row>
  </sheetData>
  <mergeCells count="10">
    <mergeCell ref="T2:V2"/>
    <mergeCell ref="Z2:AB2"/>
    <mergeCell ref="O2:S2"/>
    <mergeCell ref="AC2:AE2"/>
    <mergeCell ref="A1:AY1"/>
    <mergeCell ref="A2:N2"/>
    <mergeCell ref="AK2:AY2"/>
    <mergeCell ref="AF2:AG2"/>
    <mergeCell ref="AH2:AJ2"/>
    <mergeCell ref="W2:Y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0" customWidth="1" min="4" max="4"/>
    <col width="14" customWidth="1" min="5" max="5"/>
    <col width="18" customWidth="1" min="6" max="6"/>
    <col width="28" customWidth="1" min="7" max="7"/>
    <col width="18" customWidth="1" min="8" max="8"/>
    <col width="22" customWidth="1" min="9" max="9"/>
    <col width="20" customWidth="1" min="10" max="10"/>
    <col width="28" customWidth="1" min="11" max="11"/>
    <col width="16" customWidth="1" min="12" max="12"/>
    <col width="15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8" customWidth="1" min="34" max="34"/>
    <col width="22" customWidth="1" min="35" max="35"/>
    <col width="16" customWidth="1" min="36" max="36"/>
    <col width="26" customWidth="1" min="37" max="37"/>
    <col width="32" customWidth="1" min="38" max="38"/>
    <col width="36" customWidth="1" min="39" max="39"/>
    <col width="30" customWidth="1" min="40" max="40"/>
    <col width="30" customWidth="1" min="41" max="41"/>
    <col width="30" customWidth="1" min="42" max="42"/>
    <col width="26" customWidth="1" min="43" max="43"/>
    <col width="26" customWidth="1" min="44" max="44"/>
    <col width="22" customWidth="1" min="45" max="45"/>
    <col width="26" customWidth="1" min="46" max="46"/>
    <col width="30" customWidth="1" min="47" max="47"/>
    <col width="14" customWidth="1" min="48" max="48"/>
    <col width="14" customWidth="1" min="49" max="49"/>
    <col width="15" customWidth="1" min="50" max="50"/>
    <col width="16" customWidth="1" min="51" max="51"/>
  </cols>
  <sheetData>
    <row r="1" ht="36" customHeight="1">
      <c r="A1" s="1" t="inlineStr">
        <is>
          <t>PLANKA GUIDE • СПЕЦИАЛИЗИРОВАННЫЙ КАЛЬКУЛЯТОР: РОСКОШНЫЕ РЕСТОРАНЫ (FINE DINING) (100 БАЛЛОВ)</t>
        </is>
      </c>
    </row>
    <row r="2" ht="26" customHeight="1">
      <c r="A2" s="9" t="inlineStr">
        <is>
          <t>ПАСПОРТ ЗАВЕДЕНИЯ</t>
        </is>
      </c>
      <c r="O2" s="10" t="inlineStr">
        <is>
          <t>БЛОК 1: СЫРЬЕ И ОСНОВА (35 б.)</t>
        </is>
      </c>
      <c r="T2" s="11" t="inlineStr">
        <is>
          <t>БЛОК 2: WOW &amp; ПОДАЧА (15 б.)</t>
        </is>
      </c>
      <c r="W2" s="12" t="inlineStr">
        <is>
          <t>БЛОК 3: ЧЕСТНОСТЬ ЦЕНЫ (15 б.)</t>
        </is>
      </c>
      <c r="Z2" s="13" t="inlineStr">
        <is>
          <t>БЛОК 4: СЕРВИС &amp; ТАЙМИНГ (15 б.)</t>
        </is>
      </c>
      <c r="AC2" s="14" t="inlineStr">
        <is>
          <t>БЛОК 5: СРЕДА &amp; АКУСТИКА (10 б.)</t>
        </is>
      </c>
      <c r="AF2" s="15" t="inlineStr">
        <is>
          <t>БЛОК 6: САНИТАРИЯ (10 б.)</t>
        </is>
      </c>
      <c r="AH2" s="16" t="inlineStr">
        <is>
          <t>ИТОГИ &amp; ГРЕЙД</t>
        </is>
      </c>
      <c r="AK2" s="9" t="inlineStr">
        <is>
          <t>ДОСЬЕ, РЕЦЕНЗИЯ, МЕДИА &amp; КООРДИНАТЫ</t>
        </is>
      </c>
    </row>
    <row r="3" ht="32" customHeight="1">
      <c r="A3" s="17" t="inlineStr">
        <is>
          <t>ID</t>
        </is>
      </c>
      <c r="B3" s="17" t="inlineStr">
        <is>
          <t>Статус</t>
        </is>
      </c>
      <c r="C3" s="17" t="inlineStr">
        <is>
          <t>Название заведения</t>
        </is>
      </c>
      <c r="D3" s="17" t="inlineStr">
        <is>
          <t>Формат</t>
        </is>
      </c>
      <c r="E3" s="17" t="inlineStr">
        <is>
          <t>Город</t>
        </is>
      </c>
      <c r="F3" s="17" t="inlineStr">
        <is>
          <t>Район</t>
        </is>
      </c>
      <c r="G3" s="17" t="inlineStr">
        <is>
          <t>Адрес</t>
        </is>
      </c>
      <c r="H3" s="17" t="inlineStr">
        <is>
          <t>Телефон</t>
        </is>
      </c>
      <c r="I3" s="17" t="inlineStr">
        <is>
          <t>Бронь (URL)</t>
        </is>
      </c>
      <c r="J3" s="17" t="inlineStr">
        <is>
          <t>Шеф / Команда</t>
        </is>
      </c>
      <c r="K3" s="17" t="inlineStr">
        <is>
          <t>Концепция</t>
        </is>
      </c>
      <c r="L3" s="17" t="inlineStr">
        <is>
          <t>Средний чек (₽)</t>
        </is>
      </c>
      <c r="M3" s="17" t="inlineStr">
        <is>
          <t>Ценовой сегмент</t>
        </is>
      </c>
      <c r="N3" s="17" t="inlineStr">
        <is>
          <t>Категория цен</t>
        </is>
      </c>
      <c r="O3" s="17" t="inlineStr">
        <is>
          <t>1.1 Эксклюзивность сырья и дикая рыба/мясо (0..10)</t>
        </is>
      </c>
      <c r="P3" s="17" t="inlineStr">
        <is>
          <t>1.2 Высокие авторские техники и соусы demi-glace (0..8)</t>
        </is>
      </c>
      <c r="Q3" s="17" t="inlineStr">
        <is>
          <t>1.3 Баланс сета и гастрономическая глубина (0..7)</t>
        </is>
      </c>
      <c r="R3" s="17" t="inlineStr">
        <is>
          <t>1.4 Термостабильность курсов на подогретом фарфоре (0..5)</t>
        </is>
      </c>
      <c r="S3" s="17" t="inlineStr">
        <is>
          <t>1.5 Винный пейринг гран-крю и вода премиум (0..5)</t>
        </is>
      </c>
      <c r="T3" s="17" t="inlineStr">
        <is>
          <t>2.1 Signature Dish шефа мирового уровня (0..6)</t>
        </is>
      </c>
      <c r="U3" s="17" t="inlineStr">
        <is>
          <t>2.2 Авторская керамика ручной работы и выкладка (0..4)</t>
        </is>
      </c>
      <c r="V3" s="17" t="inlineStr">
        <is>
          <t>2.3 Амьюз-буш, преддесерт и птифюры в финале (0..5)</t>
        </is>
      </c>
      <c r="W3" s="17" t="inlineStr">
        <is>
          <t>3.1 Обоснованность чека сложностью технологий (0..5)</t>
        </is>
      </c>
      <c r="X3" s="17" t="inlineStr">
        <is>
          <t>3.2 Баланс дегустационного сета по белку (0..5)</t>
        </is>
      </c>
      <c r="Y3" s="17" t="inlineStr">
        <is>
          <t>3.3 Финансовая прозрачность счета без скрытых сборов (0..5)</t>
        </is>
      </c>
      <c r="Z3" s="17" t="inlineStr">
        <is>
          <t>4.1 Экспертиза сомелье и знание терруаров (0..5)</t>
        </is>
      </c>
      <c r="AA3" s="17" t="inlineStr">
        <is>
          <t>4.2 Синхронная курсовая подача в перчатках (0..5)</t>
        </is>
      </c>
      <c r="AB3" s="17" t="inlineStr">
        <is>
          <t>4.3 Бесшумная зачистка стола за 45 секунд (0..5)</t>
        </is>
      </c>
      <c r="AC3" s="17" t="inlineStr">
        <is>
          <t>5.1 Панорамный вид / исторический особняк (0..4)</t>
        </is>
      </c>
      <c r="AD3" s="17" t="inlineStr">
        <is>
          <t>5.2 Роскошная мебель, кресла Poltrona Frau (0..3)</t>
        </is>
      </c>
      <c r="AE3" s="17" t="inlineStr">
        <is>
          <t>5.3 Акустический комфорт &lt;=62 дБ и камерный свет (0..3)</t>
        </is>
      </c>
      <c r="AF3" s="17" t="inlineStr">
        <is>
          <t>6.1 Стерильность открытой кухни и блеск меди (0..5)</t>
        </is>
      </c>
      <c r="AG3" s="17" t="inlineStr">
        <is>
          <t>6.2 Отельный санузел с живыми полотенцами и парфюмом (0..5)</t>
        </is>
      </c>
      <c r="AH3" s="17" t="inlineStr">
        <is>
          <t>ИТОГОВЫЙ БАЛЛ</t>
        </is>
      </c>
      <c r="AI3" s="17" t="inlineStr">
        <is>
          <t>ЗНАК КАЧЕСТВА / ГРЕЙД</t>
        </is>
      </c>
      <c r="AJ3" s="17" t="inlineStr">
        <is>
          <t>Индекс ценности</t>
        </is>
      </c>
      <c r="AK3" s="17" t="inlineStr">
        <is>
          <t>Фирменное блюдо</t>
        </is>
      </c>
      <c r="AL3" s="17" t="inlineStr">
        <is>
          <t>Отзыв на фирменное блюдо</t>
        </is>
      </c>
      <c r="AM3" s="17" t="inlineStr">
        <is>
          <t>Полная рецензия инспектора</t>
        </is>
      </c>
      <c r="AN3" s="17" t="inlineStr">
        <is>
          <t>Заметки аудитора (Private)</t>
        </is>
      </c>
      <c r="AO3" s="17" t="inlineStr">
        <is>
          <t>Урбанистика и среда</t>
        </is>
      </c>
      <c r="AP3" s="17" t="inlineStr">
        <is>
          <t>Эргономика и свет</t>
        </is>
      </c>
      <c r="AQ3" s="17" t="inlineStr">
        <is>
          <t>Плюсы заведения</t>
        </is>
      </c>
      <c r="AR3" s="17" t="inlineStr">
        <is>
          <t>Минусы заведения</t>
        </is>
      </c>
      <c r="AS3" s="17" t="inlineStr">
        <is>
          <t>Вайб-теги</t>
        </is>
      </c>
      <c r="AT3" s="17" t="inlineStr">
        <is>
          <t>Видеообложка (MP4)</t>
        </is>
      </c>
      <c r="AU3" s="17" t="inlineStr">
        <is>
          <t>Фотогалерея (JSON)</t>
        </is>
      </c>
      <c r="AV3" s="17" t="inlineStr">
        <is>
          <t>Широта (Lat)</t>
        </is>
      </c>
      <c r="AW3" s="17" t="inlineStr">
        <is>
          <t>Долгота (Lng)</t>
        </is>
      </c>
      <c r="AX3" s="17" t="inlineStr">
        <is>
          <t>Дата инспекции</t>
        </is>
      </c>
      <c r="AY3" s="17" t="inlineStr">
        <is>
          <t>Дата обновления</t>
        </is>
      </c>
    </row>
    <row r="4" ht="22" customHeight="1">
      <c r="A4" s="7" t="n">
        <v>1</v>
      </c>
      <c r="B4" s="7" t="inlineStr">
        <is>
          <t>published</t>
        </is>
      </c>
      <c r="C4" s="8" t="inlineStr">
        <is>
          <t>White Rabbit</t>
        </is>
      </c>
      <c r="D4" s="7" t="inlineStr">
        <is>
          <t>Роскошные рестораны &amp; Fine Dining</t>
        </is>
      </c>
      <c r="E4" s="7" t="inlineStr">
        <is>
          <t>Москва</t>
        </is>
      </c>
      <c r="F4" s="8" t="inlineStr">
        <is>
          <t>Арбат</t>
        </is>
      </c>
      <c r="G4" s="8" t="inlineStr">
        <is>
          <t>Смоленская площадь, 3 (16 этаж)</t>
        </is>
      </c>
      <c r="H4" s="8" t="inlineStr">
        <is>
          <t>+7 (495) 510-51-01</t>
        </is>
      </c>
      <c r="I4" s="8" t="inlineStr">
        <is>
          <t>https://whiterabbit.ru/reserve</t>
        </is>
      </c>
      <c r="J4" s="8" t="inlineStr">
        <is>
          <t>Владимир Мухин</t>
        </is>
      </c>
      <c r="K4" s="8" t="inlineStr">
        <is>
          <t>Современная авторская русская кухня и сезонные фермерские продукты</t>
        </is>
      </c>
      <c r="L4" s="7" t="n">
        <v>7000</v>
      </c>
      <c r="M4" s="7" t="inlineStr">
        <is>
          <t>₽₽₽₽</t>
        </is>
      </c>
      <c r="N4" s="7" t="inlineStr">
        <is>
          <t>Премиум ($$$$)</t>
        </is>
      </c>
      <c r="O4" s="7" t="n">
        <v>10</v>
      </c>
      <c r="P4" s="7" t="n">
        <v>8</v>
      </c>
      <c r="Q4" s="7" t="n">
        <v>7</v>
      </c>
      <c r="R4" s="7" t="n">
        <v>5</v>
      </c>
      <c r="S4" s="7" t="n">
        <v>4</v>
      </c>
      <c r="T4" s="7" t="n">
        <v>6</v>
      </c>
      <c r="U4" s="7" t="n">
        <v>4</v>
      </c>
      <c r="V4" s="7" t="n">
        <v>5</v>
      </c>
      <c r="W4" s="7" t="n">
        <v>5</v>
      </c>
      <c r="X4" s="7" t="n">
        <v>5</v>
      </c>
      <c r="Y4" s="7" t="n">
        <v>4</v>
      </c>
      <c r="Z4" s="7" t="n">
        <v>5</v>
      </c>
      <c r="AA4" s="7" t="n">
        <v>5</v>
      </c>
      <c r="AB4" s="7" t="n">
        <v>5</v>
      </c>
      <c r="AC4" s="7" t="n">
        <v>4</v>
      </c>
      <c r="AD4" s="7" t="n">
        <v>3</v>
      </c>
      <c r="AE4" s="7" t="n">
        <v>2</v>
      </c>
      <c r="AF4" s="7" t="n">
        <v>5</v>
      </c>
      <c r="AG4" s="7" t="n">
        <v>4</v>
      </c>
      <c r="AH4" s="5">
        <f>SUM(O4:AG4)</f>
        <v/>
      </c>
      <c r="AI4" s="6">
        <f>IF(AH4&gt;=90, "Знак Качества", IF(AH4&gt;=75, "Рекомендовано", IF(AH4&gt;=60, "Базовый уровень", "Посредственно")))</f>
        <v/>
      </c>
      <c r="AJ4" s="7" t="n">
        <v>8.800000000000001</v>
      </c>
      <c r="AK4" s="8" t="inlineStr">
        <is>
          <t>Черная треска с муссом из трав</t>
        </is>
      </c>
      <c r="AL4" s="8" t="inlineStr">
        <is>
          <t>По субъективной оценке инспектора — филигранное попадание в структуру рыбы, травяной соус с деликатной кислинкой и выверенный баланс умами.</t>
        </is>
      </c>
      <c r="AM4" s="8" t="inlineStr">
        <is>
          <t>По нашему авторскому впечатлению, White Rabbit сохраняет статус флагмана российской гастрономии. Панорамный вид гармонично сочетается с тонкой работой шефа над локальными ингредиентами.</t>
        </is>
      </c>
      <c r="AN4" s="8" t="inlineStr"/>
      <c r="AO4" s="8" t="inlineStr">
        <is>
          <t>Интеграция в высотную доминанту Смоленского пассажа, удобный отдельный лифт и панорамный обзор на исторический центр Москвы.</t>
        </is>
      </c>
      <c r="AP4" s="8" t="inlineStr">
        <is>
          <t>Мягкий направленный вечерний свет, комфортная глубина кресел и выверенное зонирование столиков под куполом.</t>
        </is>
      </c>
      <c r="AQ4" s="8" t="inlineStr">
        <is>
          <t>Высокая точность термической обработки рыбы и морепродуктов, Синхронная отдача горячих блюд за 14 минут по таймингу, Высокий уровень чистоты открытой кухни и сервировки</t>
        </is>
      </c>
      <c r="AR4" s="8" t="inlineStr">
        <is>
          <t>В вечерние часы пик на наш взгляд ощущается высокая плотность посадки в центральной зоне зала</t>
        </is>
      </c>
      <c r="AS4" s="8" t="inlineStr">
        <is>
          <t>Романтический ужин, Панорамный вид, Авторская кухня, Торжество</t>
        </is>
      </c>
      <c r="AT4" s="8" t="inlineStr">
        <is>
          <t>https://storage.googleapis.com/gtv-videos-bucket/sample/ForBiggerBlazes.mp4</t>
        </is>
      </c>
      <c r="AU4" s="8" t="inlineStr">
        <is>
          <t>["https://images.unsplash.com/photo-1544025162-d76694265947?auto=format&amp;fit=crop&amp;w=1200&amp;q=80", "https://images.unsplash.com/photo-1517248135467-4c7edcad34c4?auto=format&amp;fit=crop&amp;w=1200&amp;q=80", "https://images.unsplash.com/photo-1550966871-3ed3cdb5ed0c?auto=format&amp;fit=crop&amp;w=1200&amp;q=80"]</t>
        </is>
      </c>
      <c r="AV4" s="7" t="n">
        <v>55.7485</v>
      </c>
      <c r="AW4" s="7" t="n">
        <v>37.5833</v>
      </c>
      <c r="AX4" s="7" t="inlineStr">
        <is>
          <t>2026-08-10</t>
        </is>
      </c>
      <c r="AY4" s="7" t="inlineStr">
        <is>
          <t>2026-08-26</t>
        </is>
      </c>
    </row>
    <row r="5" ht="22" customHeight="1">
      <c r="A5" s="3" t="n">
        <v>3</v>
      </c>
      <c r="B5" s="3" t="inlineStr">
        <is>
          <t>published</t>
        </is>
      </c>
      <c r="C5" s="4" t="inlineStr">
        <is>
          <t>Кафе Пушкинъ</t>
        </is>
      </c>
      <c r="D5" s="3" t="inlineStr">
        <is>
          <t>Роскошные рестораны &amp; Fine Dining</t>
        </is>
      </c>
      <c r="E5" s="3" t="inlineStr">
        <is>
          <t>Москва</t>
        </is>
      </c>
      <c r="F5" s="4" t="inlineStr">
        <is>
          <t>Тверской</t>
        </is>
      </c>
      <c r="G5" s="4" t="inlineStr">
        <is>
          <t>Тверской бульвар, 26А</t>
        </is>
      </c>
      <c r="H5" s="4" t="inlineStr">
        <is>
          <t>+7 (495) 739-00-33</t>
        </is>
      </c>
      <c r="I5" s="4" t="inlineStr">
        <is>
          <t>https://cafe-pushkin.ru</t>
        </is>
      </c>
      <c r="J5" s="4" t="inlineStr">
        <is>
          <t>Андрей Махов</t>
        </is>
      </c>
      <c r="K5" s="4" t="inlineStr">
        <is>
          <t>Русская дворянская кухня XIX века и легендарный сервис в стиле аптеки и библиотеки</t>
        </is>
      </c>
      <c r="L5" s="3" t="n">
        <v>5500</v>
      </c>
      <c r="M5" s="3" t="inlineStr">
        <is>
          <t>₽₽₽₽</t>
        </is>
      </c>
      <c r="N5" s="3" t="inlineStr">
        <is>
          <t>Премиум ($$$$)</t>
        </is>
      </c>
      <c r="O5" s="3" t="n">
        <v>10</v>
      </c>
      <c r="P5" s="3" t="n">
        <v>8</v>
      </c>
      <c r="Q5" s="3" t="n">
        <v>7</v>
      </c>
      <c r="R5" s="3" t="n">
        <v>5</v>
      </c>
      <c r="S5" s="3" t="n">
        <v>4</v>
      </c>
      <c r="T5" s="3" t="n">
        <v>6</v>
      </c>
      <c r="U5" s="3" t="n">
        <v>4</v>
      </c>
      <c r="V5" s="3" t="n">
        <v>5</v>
      </c>
      <c r="W5" s="3" t="n">
        <v>5</v>
      </c>
      <c r="X5" s="3" t="n">
        <v>5</v>
      </c>
      <c r="Y5" s="3" t="n">
        <v>4</v>
      </c>
      <c r="Z5" s="3" t="n">
        <v>5</v>
      </c>
      <c r="AA5" s="3" t="n">
        <v>5</v>
      </c>
      <c r="AB5" s="3" t="n">
        <v>5</v>
      </c>
      <c r="AC5" s="3" t="n">
        <v>4</v>
      </c>
      <c r="AD5" s="3" t="n">
        <v>3</v>
      </c>
      <c r="AE5" s="3" t="n">
        <v>2</v>
      </c>
      <c r="AF5" s="3" t="n">
        <v>5</v>
      </c>
      <c r="AG5" s="3" t="n">
        <v>4</v>
      </c>
      <c r="AH5" s="5">
        <f>SUM(O5:AG5)</f>
        <v/>
      </c>
      <c r="AI5" s="6">
        <f>IF(AH5&gt;=90, "Знак Качества", IF(AH5&gt;=75, "Рекомендовано", IF(AH5&gt;=60, "Базовый уровень", "Посредственно")))</f>
        <v/>
      </c>
      <c r="AJ5" s="3" t="n">
        <v>8.6</v>
      </c>
      <c r="AK5" s="4" t="inlineStr">
        <is>
          <t>Пожарская котлета с печеным картофелем</t>
        </is>
      </c>
      <c r="AL5" s="4" t="inlineStr">
        <is>
          <t>По мнению тайного инспектора — хрестоматийная сочность рубленого филе цыпленка в хрустящих сухарях из белого хлеба с классическим сливочным грибным соусом.</t>
        </is>
      </c>
      <c r="AM5" s="4" t="inlineStr">
        <is>
          <t>По нашему впечатлению, классика дворянского стола и безупречный дореволюционный этикет официантов создают аутентичный исторический опыт.</t>
        </is>
      </c>
      <c r="AN5" s="4" t="inlineStr"/>
      <c r="AO5" s="4" t="inlineStr">
        <is>
          <t>Интеграция особняка в историческую ткань Тверского бульвара, удобная зона ожидания и выразительный классический фасад.</t>
        </is>
      </c>
      <c r="AP5" s="4" t="inlineStr">
        <is>
          <t>Антикварная мебель, мягкие диваны, приглушенный теплый свет и тихая акустика зала «Библиотека».</t>
        </is>
      </c>
      <c r="AQ5" s="4" t="inlineStr">
        <is>
          <t>Безупречный этикет персонала и знание тонкостей исторического меню, Аутентичная атмосфера особняка и круглосуточная работа кухни, Высокая стабильность классических позиций кондитерской</t>
        </is>
      </c>
      <c r="AR5" s="4" t="inlineStr">
        <is>
          <t>На наш взгляд, наценка на позиции чайной карты и традиционные десерты выше средней по сегменту</t>
        </is>
      </c>
      <c r="AS5" s="4" t="inlineStr">
        <is>
          <t>Торжественный ужин, Исторический центр, Деловая встреча, Культурный визит</t>
        </is>
      </c>
      <c r="AT5" s="4" t="inlineStr">
        <is>
          <t>https://storage.googleapis.com/gtv-videos-bucket/sample/TearsOfSteel.mp4</t>
        </is>
      </c>
      <c r="AU5" s="4" t="inlineStr">
        <is>
          <t>["https://images.unsplash.com/photo-1559339352-11d035aa65de?auto=format&amp;fit=crop&amp;w=1200&amp;q=80", "https://images.unsplash.com/photo-1517248135467-4c7edcad34c4?auto=format&amp;fit=crop&amp;w=1200&amp;q=80", "https://images.unsplash.com/photo-1550966871-3ed3cdb5ed0c?auto=format&amp;fit=crop&amp;w=1200&amp;q=80"]</t>
        </is>
      </c>
      <c r="AV5" s="3" t="n">
        <v>55.7635</v>
      </c>
      <c r="AW5" s="3" t="n">
        <v>37.6047</v>
      </c>
      <c r="AX5" s="3" t="inlineStr">
        <is>
          <t>2026-08-18</t>
        </is>
      </c>
      <c r="AY5" s="3" t="inlineStr">
        <is>
          <t>2026-08-26</t>
        </is>
      </c>
    </row>
  </sheetData>
  <mergeCells count="10">
    <mergeCell ref="T2:V2"/>
    <mergeCell ref="Z2:AB2"/>
    <mergeCell ref="O2:S2"/>
    <mergeCell ref="AC2:AE2"/>
    <mergeCell ref="A1:AY1"/>
    <mergeCell ref="A2:N2"/>
    <mergeCell ref="AK2:AY2"/>
    <mergeCell ref="AF2:AG2"/>
    <mergeCell ref="AH2:AJ2"/>
    <mergeCell ref="W2:Y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2" customWidth="1" min="4" max="4"/>
    <col width="14" customWidth="1" min="5" max="5"/>
    <col width="28" customWidth="1" min="6" max="6"/>
    <col width="18" customWidth="1" min="7" max="7"/>
    <col width="20" customWidth="1" min="8" max="8"/>
    <col width="16" customWidth="1" min="9" max="9"/>
    <col width="15" customWidth="1" min="10" max="10"/>
    <col width="18" customWidth="1" min="11" max="11"/>
    <col width="18" customWidth="1" min="12" max="12"/>
    <col width="20" customWidth="1" min="13" max="13"/>
    <col width="20" customWidth="1" min="14" max="14"/>
    <col width="20" customWidth="1" min="15" max="15"/>
    <col width="18" customWidth="1" min="16" max="16"/>
    <col width="18" customWidth="1" min="17" max="17"/>
    <col width="22" customWidth="1" min="18" max="18"/>
    <col width="26" customWidth="1" min="19" max="19"/>
    <col width="35" customWidth="1" min="20" max="20"/>
    <col width="30" customWidth="1" min="21" max="21"/>
    <col width="35" customWidth="1" min="22" max="22"/>
    <col width="15" customWidth="1" min="23" max="23"/>
  </cols>
  <sheetData>
    <row r="1" ht="36" customHeight="1">
      <c r="A1" s="18" t="inlineStr">
        <is>
          <t>PLANKA GUIDE • ПОЛЕВЫЕ ЧЕРНОВИКИ АУДИТОРОВ (ДЛЯ ВСЕХ КАТЕГОРИЙ)</t>
        </is>
      </c>
    </row>
    <row r="2" ht="28" customHeight="1">
      <c r="A2" s="17" t="inlineStr">
        <is>
          <t>ID</t>
        </is>
      </c>
      <c r="B2" s="17" t="inlineStr">
        <is>
          <t>Статус</t>
        </is>
      </c>
      <c r="C2" s="17" t="inlineStr">
        <is>
          <t>Название</t>
        </is>
      </c>
      <c r="D2" s="17" t="inlineStr">
        <is>
          <t>Формат заведения</t>
        </is>
      </c>
      <c r="E2" s="17" t="inlineStr">
        <is>
          <t>Город</t>
        </is>
      </c>
      <c r="F2" s="17" t="inlineStr">
        <is>
          <t>Адрес</t>
        </is>
      </c>
      <c r="G2" s="17" t="inlineStr">
        <is>
          <t>Телефон</t>
        </is>
      </c>
      <c r="H2" s="17" t="inlineStr">
        <is>
          <t>Шеф / Команда</t>
        </is>
      </c>
      <c r="I2" s="17" t="inlineStr">
        <is>
          <t>Средний чек (₽)</t>
        </is>
      </c>
      <c r="J2" s="17" t="inlineStr">
        <is>
          <t>Ценовой сегмент</t>
        </is>
      </c>
      <c r="K2" s="17" t="inlineStr">
        <is>
          <t>1. Еда/Сырье (35 б.)</t>
        </is>
      </c>
      <c r="L2" s="17" t="inlineStr">
        <is>
          <t>2. WOW/Подача (15 б.)</t>
        </is>
      </c>
      <c r="M2" s="17" t="inlineStr">
        <is>
          <t>3. Честность цены (15 б.)</t>
        </is>
      </c>
      <c r="N2" s="17" t="inlineStr">
        <is>
          <t>4. Сервис/Тайминг (15 б.)</t>
        </is>
      </c>
      <c r="O2" s="17" t="inlineStr">
        <is>
          <t>5. Атмосфера/Среда (10 б.)</t>
        </is>
      </c>
      <c r="P2" s="17" t="inlineStr">
        <is>
          <t>6. Санитария (10 б.)</t>
        </is>
      </c>
      <c r="Q2" s="17" t="inlineStr">
        <is>
          <t>ИТОГОВЫЙ БАЛЛ</t>
        </is>
      </c>
      <c r="R2" s="17" t="inlineStr">
        <is>
          <t>ЗНАК КАЧЕСТВА / ГРЕЙД</t>
        </is>
      </c>
      <c r="S2" s="17" t="inlineStr">
        <is>
          <t>Фирменное блюдо</t>
        </is>
      </c>
      <c r="T2" s="17" t="inlineStr">
        <is>
          <t>Рецензия инспектора</t>
        </is>
      </c>
      <c r="U2" s="17" t="inlineStr">
        <is>
          <t>Видеообложка</t>
        </is>
      </c>
      <c r="V2" s="17" t="inlineStr">
        <is>
          <t>Фотографии (JSON)</t>
        </is>
      </c>
      <c r="W2" s="17" t="inlineStr">
        <is>
          <t>Дата аудита</t>
        </is>
      </c>
    </row>
    <row r="3" ht="22" customHeight="1">
      <c r="A3" s="19" t="n">
        <v>1001</v>
      </c>
      <c r="B3" s="19" t="inlineStr">
        <is>
          <t>draft</t>
        </is>
      </c>
      <c r="C3" s="20" t="inlineStr">
        <is>
          <t>Гастробар Восток (Черновик)</t>
        </is>
      </c>
      <c r="D3" s="19" t="inlineStr">
        <is>
          <t>Рестораны &amp; Бистро</t>
        </is>
      </c>
      <c r="E3" s="19" t="inlineStr">
        <is>
          <t>Екатеринбург</t>
        </is>
      </c>
      <c r="F3" s="20" t="inlineStr">
        <is>
          <t>ул. Малышева, 36</t>
        </is>
      </c>
      <c r="G3" s="20" t="inlineStr">
        <is>
          <t>+7 (343) 222-33-44</t>
        </is>
      </c>
      <c r="H3" s="20" t="inlineStr">
        <is>
          <t>Алексей Шеф</t>
        </is>
      </c>
      <c r="I3" s="19" t="n">
        <v>2500</v>
      </c>
      <c r="J3" s="19" t="inlineStr">
        <is>
          <t>₽₽₽</t>
        </is>
      </c>
      <c r="K3" s="19" t="n">
        <v>30</v>
      </c>
      <c r="L3" s="19" t="n">
        <v>12</v>
      </c>
      <c r="M3" s="19" t="n">
        <v>13</v>
      </c>
      <c r="N3" s="19" t="n">
        <v>13</v>
      </c>
      <c r="O3" s="19" t="n">
        <v>8</v>
      </c>
      <c r="P3" s="19" t="n">
        <v>8</v>
      </c>
      <c r="Q3" s="19">
        <f>SUM(K3:P3)</f>
        <v/>
      </c>
      <c r="R3" s="19">
        <f>IF(Q3&gt;=90, "Знак Качества", IF(Q3&gt;=75, "Рекомендовано", "Базовый уровень"))</f>
        <v/>
      </c>
      <c r="S3" s="20" t="inlineStr">
        <is>
          <t>Оленина с брусничным соусом</t>
        </is>
      </c>
      <c r="T3" s="20" t="inlineStr">
        <is>
          <t>Черновик инспекции: требуется дозамерить температуру десертов при втором визите.</t>
        </is>
      </c>
      <c r="U3" s="20" t="inlineStr">
        <is>
          <t>https://storage.googleapis.com/gtv-videos-bucket/sample/ForBiggerBlazes.mp4</t>
        </is>
      </c>
      <c r="V3" s="20" t="inlineStr">
        <is>
          <t>["https://images.unsplash.com/photo-1555396273-367ea4eb4db5?auto=format&amp;fit=crop&amp;w=1200&amp;q=80"]</t>
        </is>
      </c>
      <c r="W3" s="19" t="inlineStr">
        <is>
          <t>2026-08-26</t>
        </is>
      </c>
    </row>
  </sheetData>
  <mergeCells count="1">
    <mergeCell ref="A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5" customWidth="1" min="2" max="2"/>
  </cols>
  <sheetData>
    <row r="1" ht="36" customHeight="1">
      <c r="A1" s="1" t="inlineStr">
        <is>
          <t>ИНСТРУКЦИЯ ПО ОНЛАЙН-СИНХРОНИЗАЦИИ С САЙТОМ</t>
        </is>
      </c>
    </row>
    <row r="3" ht="22" customHeight="1">
      <c r="A3" s="21" t="inlineStr">
        <is>
          <t>Шаг 1</t>
        </is>
      </c>
      <c r="B3" s="22" t="inlineStr">
        <is>
          <t>В меню Google Таблицы выберите: «Расширения» → «Apps Script».</t>
        </is>
      </c>
    </row>
    <row r="4" ht="22" customHeight="1">
      <c r="A4" s="21" t="inlineStr">
        <is>
          <t>Шаг 2</t>
        </is>
      </c>
      <c r="B4" s="22" t="inlineStr">
        <is>
          <t>Вставьте приведенный ниже код в файл Code.gs.</t>
        </is>
      </c>
    </row>
    <row r="5" ht="22" customHeight="1">
      <c r="A5" s="21" t="inlineStr">
        <is>
          <t>Шаг 3</t>
        </is>
      </c>
      <c r="B5" s="22" t="inlineStr">
        <is>
          <t>Нажмите «Развернуть» (Deploy) → «Новое развертывание» (New deployment) → Тип «Веб-приложение» (Web app).</t>
        </is>
      </c>
    </row>
    <row r="6" ht="22" customHeight="1">
      <c r="A6" s="21" t="inlineStr">
        <is>
          <t>Шаг 4</t>
        </is>
      </c>
      <c r="B6" s="22" t="inlineStr">
        <is>
          <t>Установите «Кто имеет доступ» (Who has access): «Все» (Anyone).</t>
        </is>
      </c>
    </row>
    <row r="7" ht="22" customHeight="1">
      <c r="A7" s="21" t="inlineStr">
        <is>
          <t>Шаг 5</t>
        </is>
      </c>
      <c r="B7" s="22" t="inlineStr">
        <is>
          <t>Скопируйте полученный URL (https://script.google.com/macros/s/.../exec) и вставьте в окно «СИНХРОНИЗАЦИЯ» на сайте PLANKA GUIDE.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2026-08-26T13:50:56Z</dcterms:created>
  <dcterms:modified xmlns:dcterms="http://purl.org/dc/terms/" xmlns:xsi="http://www.w3.org/2001/XMLSchema-instance" xsi:type="dcterms:W3CDTF">2026-08-26T13:50:56Z</dcterms:modified>
</cp:coreProperties>
</file>